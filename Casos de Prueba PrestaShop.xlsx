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entrauser3416\Desktop\Curso Selenium\Proyecto PrestaShop Demo\"/>
    </mc:Choice>
  </mc:AlternateContent>
  <bookViews>
    <workbookView xWindow="0" yWindow="0" windowWidth="20490" windowHeight="7200"/>
  </bookViews>
  <sheets>
    <sheet name="Casos de Pruebas" sheetId="4" r:id="rId1"/>
    <sheet name="Instrución" sheetId="5" r:id="rId2"/>
  </sheets>
  <externalReferences>
    <externalReference r:id="rId3"/>
  </externalReferences>
  <definedNames>
    <definedName name="_xlnm._FilterDatabase" localSheetId="0" hidden="1">'Casos de Pruebas'!$A$10:$Q$114</definedName>
    <definedName name="Aprobado">[1]Codigos!$H$3</definedName>
    <definedName name="Por_Ejecutar">[1]Codigos!$H$7</definedName>
    <definedName name="Rechazado">[1]Codigos!$H$4</definedName>
  </definedNames>
  <calcPr calcId="162913"/>
</workbook>
</file>

<file path=xl/calcChain.xml><?xml version="1.0" encoding="utf-8"?>
<calcChain xmlns="http://schemas.openxmlformats.org/spreadsheetml/2006/main">
  <c r="G6" i="4" l="1"/>
  <c r="F6" i="4" s="1"/>
  <c r="G5" i="4"/>
  <c r="E5" i="4"/>
  <c r="G4" i="4"/>
  <c r="G3" i="4"/>
  <c r="E3" i="4"/>
  <c r="G2" i="4"/>
  <c r="E2" i="4"/>
  <c r="F5" i="4" l="1"/>
  <c r="F4" i="4"/>
  <c r="F2" i="4"/>
  <c r="F3" i="4"/>
</calcChain>
</file>

<file path=xl/sharedStrings.xml><?xml version="1.0" encoding="utf-8"?>
<sst xmlns="http://schemas.openxmlformats.org/spreadsheetml/2006/main" count="1311" uniqueCount="820">
  <si>
    <t>Título</t>
  </si>
  <si>
    <t>ID Caso de Prueba</t>
  </si>
  <si>
    <t>Descripción</t>
  </si>
  <si>
    <t>Precondiciones</t>
  </si>
  <si>
    <t>Búsqueda sin resultados</t>
  </si>
  <si>
    <t>Estado</t>
  </si>
  <si>
    <t>No Aplica</t>
  </si>
  <si>
    <t>Total</t>
  </si>
  <si>
    <t>Antecedentes de Diseño</t>
  </si>
  <si>
    <t>Resumen Casos de Pruebas</t>
  </si>
  <si>
    <t xml:space="preserve">Antecedentes de Ejecución </t>
  </si>
  <si>
    <t>ID Iniciativa</t>
  </si>
  <si>
    <t>Nombre Iniciativa</t>
  </si>
  <si>
    <t>Ejecutor</t>
  </si>
  <si>
    <t>Josué Legeon</t>
  </si>
  <si>
    <t>Canal</t>
  </si>
  <si>
    <t>WEB</t>
  </si>
  <si>
    <t>Browser / Dispositivo</t>
  </si>
  <si>
    <t>Chrome</t>
  </si>
  <si>
    <t>Revisión</t>
  </si>
  <si>
    <t>Tipo Iniciativa:</t>
  </si>
  <si>
    <t>Actividad</t>
  </si>
  <si>
    <t>Fecha Inicio Ejec.</t>
  </si>
  <si>
    <t>Diseñador</t>
  </si>
  <si>
    <t>Fecha Inicio Diseño</t>
  </si>
  <si>
    <t>Fecha Término Ejec</t>
  </si>
  <si>
    <t>Fecha Término Diseño</t>
  </si>
  <si>
    <t>Descripción Requerimiento</t>
  </si>
  <si>
    <t>QA-PRESTASHOP-001</t>
  </si>
  <si>
    <t>Proyecto Testing de prestashop</t>
  </si>
  <si>
    <t>Actividad de Aseguramiento de Calidad (QA)</t>
  </si>
  <si>
    <t>Quien Corresponde</t>
  </si>
  <si>
    <t>Validar el correcto funcionamiento de los tres módulos críticos para la experiencia de usuario y conversión en la plataforma de e-commerce PrestaShop Demo, asegurando que cumplen con los criterios de aceptación definidos en las Historias de Usuario (HUs).</t>
  </si>
  <si>
    <t>QA Funcional</t>
  </si>
  <si>
    <t>Módulo</t>
  </si>
  <si>
    <t>Prioridad</t>
  </si>
  <si>
    <t>Tipo de Prueba</t>
  </si>
  <si>
    <t>ID Requisito</t>
  </si>
  <si>
    <t>Datos de Entrada</t>
  </si>
  <si>
    <t>Pasos para Ejecutar</t>
  </si>
  <si>
    <t>Resultado Esperado</t>
  </si>
  <si>
    <t>Fecha Ejecución</t>
  </si>
  <si>
    <t>Ejecutado Por</t>
  </si>
  <si>
    <t>Resultado Real</t>
  </si>
  <si>
    <t>Comentarios/Notas</t>
  </si>
  <si>
    <t>Defectos Asociados</t>
  </si>
  <si>
    <t>TC-AUTH-REG-001</t>
  </si>
  <si>
    <t>Registro exitoso con datos válidos</t>
  </si>
  <si>
    <t>Autenticación</t>
  </si>
  <si>
    <t>P0</t>
  </si>
  <si>
    <t>Funcional Positiva</t>
  </si>
  <si>
    <t>AUTH-REQ-001</t>
  </si>
  <si>
    <t>Verificar que un nuevo usuario puede registrarse exitosamente con datos válidos</t>
  </si>
  <si>
    <t>No Ejecutado</t>
  </si>
  <si>
    <t>TC-AUTH-REG-002</t>
  </si>
  <si>
    <t>Verificar cuenta creada en el sistema</t>
  </si>
  <si>
    <t>Confirmar que la cuenta registrada existe y puede ser utilizada para login</t>
  </si>
  <si>
    <t>TC-AUTH-REG-003</t>
  </si>
  <si>
    <t>Verificar campos requeridos en formulario</t>
  </si>
  <si>
    <t>AUTH-REQ-002</t>
  </si>
  <si>
    <t>Validar que el formulario de registro contiene todos los campos necesarios</t>
  </si>
  <si>
    <t>N/A</t>
  </si>
  <si>
    <t>TC-AUTH-REG-004</t>
  </si>
  <si>
    <t>Registro con email sin @</t>
  </si>
  <si>
    <t>Funcional Negativa</t>
  </si>
  <si>
    <t>AUTH-REQ-003</t>
  </si>
  <si>
    <t>Verificar que el sistema rechaza emails sin formato válido (sin @)</t>
  </si>
  <si>
    <t>TC-AUTH-REG-005</t>
  </si>
  <si>
    <t>Registro con email sin dominio</t>
  </si>
  <si>
    <t>Verificar que el sistema rechaza emails sin dominio completo</t>
  </si>
  <si>
    <t>TC-AUTH-REG-006</t>
  </si>
  <si>
    <t>Registro con email en formato inválido</t>
  </si>
  <si>
    <t>Verificar validación de formato de email con diversos formatos inválidos</t>
  </si>
  <si>
    <t>TC-AUTH-REG-007</t>
  </si>
  <si>
    <t>Registro con contraseña de 7 caracteres</t>
  </si>
  <si>
    <t>P1</t>
  </si>
  <si>
    <t>AUTH-REQ-004</t>
  </si>
  <si>
    <t>Verificar que el sistema rechaza contraseñas con menos de 8 caracteres</t>
  </si>
  <si>
    <t>TC-AUTH-REG-008</t>
  </si>
  <si>
    <t>Registro con contraseña de 8 caracteres</t>
  </si>
  <si>
    <t>Verificar que el sistema acepta contraseñas con exactamente 8 caracteres</t>
  </si>
  <si>
    <t>TC-AUTH-REG-009</t>
  </si>
  <si>
    <t>Registro con email ya existente</t>
  </si>
  <si>
    <t>AUTH-REQ-005</t>
  </si>
  <si>
    <t>Verificar que el sistema previene registro duplicado con mismo email</t>
  </si>
  <si>
    <t>TC-AUTH-REG-010</t>
  </si>
  <si>
    <t>Verificar mensaje de error por email duplicado</t>
  </si>
  <si>
    <t>AUTH-REQ-006</t>
  </si>
  <si>
    <t>Validar que el mensaje de error para email duplicado es claro y útil</t>
  </si>
  <si>
    <t>TC-AUTH-REG-011</t>
  </si>
  <si>
    <t>Verificar mensaje de confirmación tras registro</t>
  </si>
  <si>
    <t>AUTH-REQ-007</t>
  </si>
  <si>
    <t>Validar que se muestra mensaje de éxito tras registro exitoso</t>
  </si>
  <si>
    <t>TC-AUTH-REG-012</t>
  </si>
  <si>
    <t>Registro con campos vacíos</t>
  </si>
  <si>
    <t>Verificar validación cuando se envía formulario con campos vacíos</t>
  </si>
  <si>
    <t>1. Acceso a formulario de registro</t>
  </si>
  <si>
    <t>Todos los campos: vacíos</t>
  </si>
  <si>
    <t>TC-AUTH-REG-013</t>
  </si>
  <si>
    <t>Registro con caracteres especiales en nombre</t>
  </si>
  <si>
    <t>P2</t>
  </si>
  <si>
    <t>Validar manejo de caracteres especiales en campos de nombre</t>
  </si>
  <si>
    <t>1. En formulario de registro</t>
  </si>
  <si>
    <t>TC-AUTH-REG-014</t>
  </si>
  <si>
    <t>Registro con campos excediendo límite de caracteres</t>
  </si>
  <si>
    <t>Verificar límite máximo de caracteres en campos</t>
  </si>
  <si>
    <t>TC-AUTH-REG-015</t>
  </si>
  <si>
    <t>Cancelar formulario de registro</t>
  </si>
  <si>
    <t>Verificar funcionalidad de cancelar registro</t>
  </si>
  <si>
    <t>TC-AUTH-LOGIN-001</t>
  </si>
  <si>
    <t>Login exitoso con credenciales válidas</t>
  </si>
  <si>
    <t>AUTH-REQ-008</t>
  </si>
  <si>
    <t>Verificar que usuario puede iniciar sesión con credenciales correctas</t>
  </si>
  <si>
    <t>TC-AUTH-LOGIN-002</t>
  </si>
  <si>
    <t>Login con email inválido</t>
  </si>
  <si>
    <t>AUTH-REQ-009</t>
  </si>
  <si>
    <t>Verificar rechazo de login con email que no existe</t>
  </si>
  <si>
    <t>TC-AUTH-LOGIN-003</t>
  </si>
  <si>
    <t>Login con contraseña incorrecta</t>
  </si>
  <si>
    <t>Verificar rechazo de login con contraseña errónea</t>
  </si>
  <si>
    <t>TC-AUTH-LOGIN-004</t>
  </si>
  <si>
    <t>Login con email no registrado</t>
  </si>
  <si>
    <t>Verificar comportamiento con email completamente nuevo</t>
  </si>
  <si>
    <t>TC-AUTH-LOGIN-005</t>
  </si>
  <si>
    <t>Verificar mensaje de error en login fallido</t>
  </si>
  <si>
    <t>AUTH-REQ-010</t>
  </si>
  <si>
    <t>Validar claridad y utilidad del mensaje de error</t>
  </si>
  <si>
    <t>TC-AUTH-LOGIN-006</t>
  </si>
  <si>
    <t>Verificar redirección tras login exitoso</t>
  </si>
  <si>
    <t>AUTH-REQ-011</t>
  </si>
  <si>
    <t>Validar que usuario es redirigido a "My Account" después del login</t>
  </si>
  <si>
    <t>TC-AUTH-LOGIN-007</t>
  </si>
  <si>
    <t>Verificar persistencia de sesión</t>
  </si>
  <si>
    <t>AUTH-REQ-012</t>
  </si>
  <si>
    <t>Confirmar que la sesión se mantiene al navegar por el sitio</t>
  </si>
  <si>
    <t>TC-AUTH-LOGIN-008</t>
  </si>
  <si>
    <t>Login con campos vacíos</t>
  </si>
  <si>
    <t>Verificar validación de campos obligatorios en login</t>
  </si>
  <si>
    <t>1. Usuario en página de login</t>
  </si>
  <si>
    <t>TC-AUTH-LOGIN-009</t>
  </si>
  <si>
    <t>Login con intento de SQL Injection</t>
  </si>
  <si>
    <t>Seguridad</t>
  </si>
  <si>
    <t>Verificar protección contra SQL injection en login</t>
  </si>
  <si>
    <t>TC-AUTH-LOGIN-010</t>
  </si>
  <si>
    <t>Login con email en mayúsculas</t>
  </si>
  <si>
    <t>Verificar que login es case-insensitive para email</t>
  </si>
  <si>
    <t>&lt;</t>
  </si>
  <si>
    <t>1. Acceso al sitio demo  2. Usuario no registrado previamente  3. Navegador compatible</t>
  </si>
  <si>
    <t>1. Navegar a https://demo.prestashop.com/  2. Click en "Sign in"  3. Click en "Create account"  4. Completar campo Email con datos de entrada  5. Completar campo Password  6. Completar campo First name  7. Completar campo Last name  8. Click en "Save"</t>
  </si>
  <si>
    <t>1. Formulario de registro se muestra correctamente  2. Campos se completan sin errores  3. Mensaje de confirmación "Your account has been created" aparece  4. Usuario es redirigido a "My Account"  5. Nombre de usuario visible en header</t>
  </si>
  <si>
    <t>1. TC-AUTH-REG-001 ejecutado exitosamente  2. Datos de usuario creado disponibles</t>
  </si>
  <si>
    <t>Email: test_user_001@test.com  Contraseña: TestPass123!</t>
  </si>
  <si>
    <t>1. Hacer logout si está logueado  2. Click en "Sign in"  3. Ingresar email del usuario creado  4. Ingresar contraseña del usuario creado  5. Click en "Sign in"</t>
  </si>
  <si>
    <t>1. Login es exitoso  2. Usuario es redirigido a "My Account"  3. Información del usuario es visible  4. Nombre correcto mostrado en header</t>
  </si>
  <si>
    <t>1. Acceso al sitio demo  2. Navegador compatible</t>
  </si>
  <si>
    <t>1. Navegar a https://demo.prestashop.com/  2. Click en "Sign in"  3. Click en "Create account"  4. Observar formulario de registro</t>
  </si>
  <si>
    <t>1. Campo "Email" está presente  2. Campo "Password" está presente  3. Campo "First name" está presente  4. Campo "Last name" está presente  5. Checkbox de términos presente  6. Botón "Save" visible</t>
  </si>
  <si>
    <t>1. Acceso al sitio demo  2. Usuario en página de registro</t>
  </si>
  <si>
    <t>Email: testusertest.com (sin @)  Contraseña: TestPass123!  Nombre: Juan  Apellido: Pérez</t>
  </si>
  <si>
    <t>1. Navegar a formulario de registro  2. Ingresar email sin @ en campo Email  3. Completar resto de campos con datos válidos  4. Intentar hacer click en "Save"</t>
  </si>
  <si>
    <t>1. Sistema no permite enviar el formulario  2. Mensaje de error aparece: "Invalid email format" o similar  3. Campo email resaltado en rojo  4. Cuenta NO es creada</t>
  </si>
  <si>
    <t>Email: testuser@ (sin dominio)  Contraseña: TestPass123!  Nombre: Juan  Apellido: Pérez</t>
  </si>
  <si>
    <t>1. Navegar a formulario de registro  2. Ingresar "testuser@" en campo Email  3. Completar resto de campos con datos válidos  4. Intentar hacer click en "Save"</t>
  </si>
  <si>
    <t>1. Sistema muestra mensaje de error  2. Error indica formato de email inválido  3. Formulario no se envía  4. Cuenta NO es creada</t>
  </si>
  <si>
    <t>Email: test..user@test.com (doble punto)  Contraseña: TestPass123!  Nombre: Juan  Apellido: Pérez</t>
  </si>
  <si>
    <t>1. Navegar a formulario de registro  2. Ingresar email con formato inválido  3. Completar resto de campos  4. Click en "Save"</t>
  </si>
  <si>
    <t>1. Sistema rechaza el email  2. Mensaje de error visible  3. Registro no se completa</t>
  </si>
  <si>
    <t>Email: test_user_007@test.com  Contraseña: Test123 (7 chars)  Nombre: Juan  Apellido: Pérez</t>
  </si>
  <si>
    <t>1. Navegar a formulario de registro  2. Completar email con dato válido  3. Ingresar contraseña de 7 caracteres  4. Completar nombre y apellido  5. Click en "Save"</t>
  </si>
  <si>
    <t>1. Sistema muestra error de validación  2. Mensaje indica "Password must be at least 8 characters"  3. Campo contraseña resaltado  4. Registro no se completa</t>
  </si>
  <si>
    <t>Email: test_user_008@test.com  Contraseña: Test1234 (8 chars)  Nombre: Juan  Apellido: Pérez</t>
  </si>
  <si>
    <t>1. Navegar a formulario de registro  2. Completar todos los campos con datos válidos  3. Usar contraseña de exactamente 8 caracteres  4. Click en "Save"</t>
  </si>
  <si>
    <t>1. Sistema acepta la contraseña  2. Registro se completa exitosamente  3. Mensaje de confirmación aparece  4. Usuario logueado automáticamente</t>
  </si>
  <si>
    <t>1. Usuario ya registrado existe en sistema  2. Datos del usuario existente conocidos</t>
  </si>
  <si>
    <t>Email: existing_user@test.com (ya existe)  Contraseña: NewPass123!  Nombre: Pedro  Apellido: García</t>
  </si>
  <si>
    <t>1. Navegar a formulario de registro  2. Ingresar email de usuario ya existente  3. Completar resto de campos con datos nuevos  4. Click en "Save"</t>
  </si>
  <si>
    <t>1. Sistema rechaza el registro  2. Mensaje de error aparece: "Email already registered" o similar  3. Usuario NO es creado  4. Sistema sugiere hacer login o recuperar contraseña</t>
  </si>
  <si>
    <t>1. Usuario ya registrado existe  2. En formulario de registro</t>
  </si>
  <si>
    <t>Email: existing_user@test.com  Contraseña: Test123!  Nombre: Test  Apellido: User</t>
  </si>
  <si>
    <t>1. Intentar registrarse con email existente  2. Observar mensaje de error mostrado</t>
  </si>
  <si>
    <t>1. Mensaje de error es claro y específico  2. Indica que el email ya está registrado  3. Puede incluir link a login o recuperación  4. No expone información sensible</t>
  </si>
  <si>
    <t>1. Datos válidos para nuevo usuario  2. En formulario de registro</t>
  </si>
  <si>
    <t>Email: test_user_011@test.com  Contraseña: TestPass123!  Nombre: Carlos  Apellido: López</t>
  </si>
  <si>
    <t>1. Completar formulario con datos válidos  2. Click en "Save"  3. Observar mensajes mostrados</t>
  </si>
  <si>
    <t>1. Mensaje de éxito aparece  2. Mensaje indica "Account created successfully" o similar  3. Mensaje es visible y claro  4. Usuario es redirigido apropiadamente</t>
  </si>
  <si>
    <t>1. Navegar a formulario de registro  2. Dejar todos los campos vacíos  3. Click directamente en "Save"</t>
  </si>
  <si>
    <t>1. Sistema previene el envío  2. Mensajes de error aparecen en campos requeridos  3. Indica "This field is required"  4. No se crea ninguna cuenta</t>
  </si>
  <si>
    <t>Email: test_013@test.com  Contraseña: Test123!  Nombre: Juan&lt;@#$%&gt;  Apellido: Pérez</t>
  </si>
  <si>
    <t>1. Ingresar email y contraseña válidos  2. Ingresar nombre con caracteres especiales  3. Completar apellido  4. Click en "Save"</t>
  </si>
  <si>
    <t>1. Sistema rechaza caracteres especiales O  2. Sistema los acepta pero sanitiza  3. Mensaje apropiado si no se permite  4. Comportamiento consistente y seguro</t>
  </si>
  <si>
    <t>Email: muy_largo_email_test_usuario_con_mas_de_100_caracteres@dominioextremadamentelargo.com  Nombre: string de 200+ caracteres</t>
  </si>
  <si>
    <t>1. Intentar ingresar texto muy largo en cada campo  2. Observar comportamiento  3. Intentar enviar formulario</t>
  </si>
  <si>
    <t>1. Sistema limita entrada a máximo de caracteres O  2. Sistema trunca el texto O  3. Sistema muestra error si excede límite  4. No causa errores del sistema</t>
  </si>
  <si>
    <t>1. Usuario en formulario de registro  2. Algunos campos completados</t>
  </si>
  <si>
    <t>Email: test_015@test.com  Contraseña: Test123!</t>
  </si>
  <si>
    <t>1. Completar parcialmente formulario  2. Click en botón "Cancel" o cerrar formulario  3. Confirmar cancelación si hay prompt</t>
  </si>
  <si>
    <t>1. Formulario se cierra  2. Datos ingresados no se guardan  3. Usuario regresa a página anterior  4. No se crea cuenta</t>
  </si>
  <si>
    <t>TC-AUTH-LOGOUT-001</t>
  </si>
  <si>
    <t>Logout desde página de inicio</t>
  </si>
  <si>
    <t>AUTH-REQ-013</t>
  </si>
  <si>
    <t>Verificar cierre de sesión desde home page</t>
  </si>
  <si>
    <t>TC-AUTH-LOGOUT-002</t>
  </si>
  <si>
    <t>Logout desde página de producto</t>
  </si>
  <si>
    <t>Verificar logout funciona desde cualquier página de producto</t>
  </si>
  <si>
    <t>TC-AUTH-LOGOUT-003</t>
  </si>
  <si>
    <t>Logout desde carrito de compras</t>
  </si>
  <si>
    <t>Verificar logout desde página del carrito</t>
  </si>
  <si>
    <t>TC-AUTH-LOGOUT-004</t>
  </si>
  <si>
    <t>Verificar sesión eliminada tras logout</t>
  </si>
  <si>
    <t>AUTH-REQ-014</t>
  </si>
  <si>
    <t>Confirmar que la sesión se limpia completamente</t>
  </si>
  <si>
    <t>TC-AUTH-LOGOUT-005</t>
  </si>
  <si>
    <t>Verificar redirección tras logout</t>
  </si>
  <si>
    <t>AUTH-REQ-015</t>
  </si>
  <si>
    <t>Validar que usuario es redirigido apropiadamente después de logout</t>
  </si>
  <si>
    <t>1. Usuario registrado existe en sistema  2. Usuario no está logueado  3. Credenciales válidas conocidas</t>
  </si>
  <si>
    <t>Email: testuser@prestashop.test  Contraseña: TestPass123!</t>
  </si>
  <si>
    <t>1. Navegar a https://demo.prestashop.com/  2. Click en "Sign in"  3. Ingresar email en campo Email  4. Ingresar contraseña en campo Password  5. Click en botón "Sign in"</t>
  </si>
  <si>
    <t>1. Login es exitoso  2. Usuario redirigido a "My Account"  3. Nombre de usuario visible en header  4. Opción "Sign out" disponible  5. No se muestran errores</t>
  </si>
  <si>
    <t>1. Usuario no logueado  2. En página de login</t>
  </si>
  <si>
    <t>Email: usuario_noexiste@test.com  Contraseña: AnyPassword123!</t>
  </si>
  <si>
    <t>1. Navegar a página de Sign in  2. Ingresar email no registrado  3. Ingresar cualquier contraseña  4. Click en "Sign in"</t>
  </si>
  <si>
    <t>1. Login es rechazado  2. Mensaje de error aparece  3. Error indica credenciales inválidas  4. Usuario permanece en página de login  5. No se inicia sesión</t>
  </si>
  <si>
    <t>1. Usuario registrado existe  2. Email válido conocido  3. Usuario no logueado</t>
  </si>
  <si>
    <t>Email: testuser@prestashop.test  Contraseña: WrongPassword999!</t>
  </si>
  <si>
    <t>1. Navegar a Sign in  2. Ingresar email correcto  3. Ingresar contraseña incorrecta  4. Click en "Sign in"</t>
  </si>
  <si>
    <t>1. Login falla  2. Mensaje "Authentication failed" o similar  3. Usuario NO logueado  4. Permanece en página de login  5. No expone si email existe</t>
  </si>
  <si>
    <t>1. Email nunca ha sido registrado  2. Usuario en página login</t>
  </si>
  <si>
    <t>Email: nunca_registrado_123@test.com  Contraseña: TestPass123!</t>
  </si>
  <si>
    <t>1. Ir a Sign in  2. Ingresar email nunca registrado  3. Ingresar contraseña  4. Click en "Sign in"</t>
  </si>
  <si>
    <t>1. Login es rechazado  2. Mensaje de error genérico  3. No indica si email existe o no (seguridad)  4. Usuario permanece no autenticado</t>
  </si>
  <si>
    <t>1. Credenciales inválidas preparadas  2. En página de login</t>
  </si>
  <si>
    <t>Email: test@test.com  Contraseña: wrong123</t>
  </si>
  <si>
    <t>1. Intentar login con credenciales inválidas  2. Observar mensaje de error mostrado</t>
  </si>
  <si>
    <t>1. Mensaje de error es claro  2. Indica que credenciales son incorrectas  3. No expone información sensible  4. Texto en idioma correcto  5. Posiblemente sugiere recuperar contraseña</t>
  </si>
  <si>
    <t>1. Usuario registrado válido  2. Credenciales correctas</t>
  </si>
  <si>
    <t>1. Hacer login exitoso  2. Observar URL y página destino</t>
  </si>
  <si>
    <t>1. Usuario redirigido a /my-account o similar  2. Página "My Account" se muestra  3. Información del usuario visible  4. Redirección es automática</t>
  </si>
  <si>
    <t>1. Usuario logueado exitosamente  2. Sesión activa</t>
  </si>
  <si>
    <t>1. Hacer login  2. Navegar a diferentes páginas (Home, Products, Cart)  3. Verificar estado de sesión en cada página</t>
  </si>
  <si>
    <t>1. Sesión permanece activa en todas las páginas  2. Nombre de usuario visible siempre  3. No se requiere re-login  4. Opción "Sign out" siempre disponible</t>
  </si>
  <si>
    <t>Email: (vacío)  Contraseña: (vacío)</t>
  </si>
  <si>
    <t>1. Navegar a Sign in  2. Dejar ambos campos vacíos  3. Click en "Sign in"</t>
  </si>
  <si>
    <t>1. Sistema previene envío del formulario  2. Mensajes de error en campos vacíos  3. Indica "Required field" o similar  4. No intenta autenticar</t>
  </si>
  <si>
    <t>Email: admin' OR '1'='1  Contraseña: ' OR '1'='1</t>
  </si>
  <si>
    <t>1. Ingresar payload de SQL injection en email  2. Ingresar payload en contraseña  3. Click en "Sign in"</t>
  </si>
  <si>
    <t>1. Login es rechazado  2. Sistema no es vulnerable  3. Entrada sanitizada correctamente  4. No hay error de SQL  5. Comportamiento normal de rechazo</t>
  </si>
  <si>
    <t>1. Usuario registrado con email en minúsculas  2. Email: testuser@test.com</t>
  </si>
  <si>
    <t>Email: TESTUSER@TEST.COM (mayúsculas)  Contraseña: TestPass123!</t>
  </si>
  <si>
    <t>1. Ir a Sign in  2. Ingresar email en mayúsculas  3. Ingresar contraseña correcta  4. Click en "Sign in"</t>
  </si>
  <si>
    <t>1. Login es exitoso O  2. Sistema convierte email a minúsculas  3. Usuario autenticado correctamente  4. Comportamiento consistente</t>
  </si>
  <si>
    <t>1. Usuario logueado  2. En página principal</t>
  </si>
  <si>
    <t>1. Estar logueado en home page  2. Click en nombre de usuario en header  3. Click en opción "Sign out"</t>
  </si>
  <si>
    <t>1. Sesión se cierra correctamente  2. Usuario redirigido a home  3. Opción "Sign in" aparece nuevamente  4. Nombre de usuario ya no visible</t>
  </si>
  <si>
    <t>1. Usuario logueado  2. Navegando en página de producto</t>
  </si>
  <si>
    <t>1. Navegar a página de detalle de producto  2. Click en "Sign out" desde header  3. Confirmar cierre de sesión</t>
  </si>
  <si>
    <t>1. Logout exitoso  2. Usuario no autenticado  3. Puede permanecer en misma página o redirigir  4. Funcionalidad consistente</t>
  </si>
  <si>
    <t>1. Usuario logueado  2. En página del carrito  3. Carrito puede tener productos</t>
  </si>
  <si>
    <t>1. Ir a página de carrito  2. Click en "Sign out"  3. Observar comportamiento</t>
  </si>
  <si>
    <t>1. Logout se completa  2. Sesión cerrada  3. Carrito puede mantenerse o limpiarse (según política)  4. Usuario puede continuar como invitado</t>
  </si>
  <si>
    <t>1. Usuario logueado  2. Sesión activa</t>
  </si>
  <si>
    <t>1. Hacer logout  2. Intentar acceder a "My Account" directamente vía URL  3. Verificar acceso a funciones que requieren login</t>
  </si>
  <si>
    <t>1. Sesión es eliminada completamente  2. Acceso a "My Account" redirige a login  3. Funciones protegidas no accesibles  4. No hay remnantes de sesión</t>
  </si>
  <si>
    <t>1. Usuario logueado  2. En cualquier página</t>
  </si>
  <si>
    <t>1. Hacer click en "Sign out"  2. Observar página destino</t>
  </si>
  <si>
    <t>TC-CART-ADD-001</t>
  </si>
  <si>
    <t>Agregar producto desde catálogo</t>
  </si>
  <si>
    <t>Carrito</t>
  </si>
  <si>
    <t>CART-REQ-001</t>
  </si>
  <si>
    <t>Verificar agregar producto desde listado de productos</t>
  </si>
  <si>
    <t>Producto: Cualquier producto del listado</t>
  </si>
  <si>
    <t>TC-CART-ADD-002</t>
  </si>
  <si>
    <t>Agregar producto desde página de detalle</t>
  </si>
  <si>
    <t>CART-REQ-002</t>
  </si>
  <si>
    <t>Validar agregar producto desde página de detalle</t>
  </si>
  <si>
    <t>1. En página de detalle de producto</t>
  </si>
  <si>
    <t>TC-CART-ADD-003</t>
  </si>
  <si>
    <t>Verificar mensaje de confirmación</t>
  </si>
  <si>
    <t>CART-REQ-003</t>
  </si>
  <si>
    <t>Confirmar que aparece mensaje tras agregar producto</t>
  </si>
  <si>
    <t>1. Listo para agregar producto</t>
  </si>
  <si>
    <t>Producto: Cualquiera</t>
  </si>
  <si>
    <t>TC-CART-ADD-004</t>
  </si>
  <si>
    <t>Verificar actualización de contador</t>
  </si>
  <si>
    <t>CART-REQ-004</t>
  </si>
  <si>
    <t>Validar que el contador del carrito se actualiza</t>
  </si>
  <si>
    <t>Producto: Añadir 1 producto</t>
  </si>
  <si>
    <t>TC-CART-ADD-005</t>
  </si>
  <si>
    <t>Agregar producto duplicado</t>
  </si>
  <si>
    <t>CART-REQ-005</t>
  </si>
  <si>
    <t>Verificar agregar mismo producto múltiples veces</t>
  </si>
  <si>
    <t>1. Producto ya en carrito</t>
  </si>
  <si>
    <t>Producto: Mismo producto agregado anteriormente</t>
  </si>
  <si>
    <t>TC-CART-ADD-006</t>
  </si>
  <si>
    <t>Agregar múltiples unidades a la vez</t>
  </si>
  <si>
    <t>Validar agregar cantidad específica desde detalle</t>
  </si>
  <si>
    <t>TC-CART-VIEW-001</t>
  </si>
  <si>
    <t>Ver carrito con productos</t>
  </si>
  <si>
    <t>CART-REQ-006</t>
  </si>
  <si>
    <t>Verificar visualización del carrito con productos</t>
  </si>
  <si>
    <t>1. Al menos 1 producto en carrito</t>
  </si>
  <si>
    <t>TC-CART-VIEW-002</t>
  </si>
  <si>
    <t>Verificar información de productos en carrito</t>
  </si>
  <si>
    <t>CART-REQ-007</t>
  </si>
  <si>
    <t>Validar que se muestra toda la información requerida</t>
  </si>
  <si>
    <t>1. Productos en carrito</t>
  </si>
  <si>
    <t>TC-CART-VIEW-003</t>
  </si>
  <si>
    <t>Verificar cálculo de subtotal</t>
  </si>
  <si>
    <t>CART-REQ-008</t>
  </si>
  <si>
    <t>Confirmar cálculo correcto del subtotal</t>
  </si>
  <si>
    <t>Productos con precios conocidos</t>
  </si>
  <si>
    <t>TC-CART-VIEW-004</t>
  </si>
  <si>
    <t>Verificar cálculo de impuestos</t>
  </si>
  <si>
    <t>CART-REQ-009</t>
  </si>
  <si>
    <t>Validar que impuestos se calculan y muestran</t>
  </si>
  <si>
    <t>TC-CART-VIEW-005</t>
  </si>
  <si>
    <t>Verificar costo de envío</t>
  </si>
  <si>
    <t>CART-REQ-010</t>
  </si>
  <si>
    <t>Confirmar visualización de costos de envío</t>
  </si>
  <si>
    <t>TC-CART-VIEW-006</t>
  </si>
  <si>
    <t>Verificar cálculo de total</t>
  </si>
  <si>
    <t>CART-REQ-011</t>
  </si>
  <si>
    <t>Validar cálculo correcto del total final</t>
  </si>
  <si>
    <t>Datos: Subtotal + Tax + Shipping conocidos</t>
  </si>
  <si>
    <t>TC-CART-VIEW-007</t>
  </si>
  <si>
    <t>Verificar mini-carrito en header</t>
  </si>
  <si>
    <t>CART-REQ-012</t>
  </si>
  <si>
    <t>Confirmar funcionalidad del widget mini-carrito</t>
  </si>
  <si>
    <t>1. Productos agregados al carrito</t>
  </si>
  <si>
    <t>TC-CART-MOD-001</t>
  </si>
  <si>
    <t>Aumentar cantidad de producto</t>
  </si>
  <si>
    <t>CART-REQ-013</t>
  </si>
  <si>
    <t>Verificar incremento de cantidad en carrito</t>
  </si>
  <si>
    <t>1. Producto en carrito con cantidad 1</t>
  </si>
  <si>
    <t>Nueva cantidad: 2</t>
  </si>
  <si>
    <t>TC-CART-MOD-002</t>
  </si>
  <si>
    <t>Disminuir cantidad de producto</t>
  </si>
  <si>
    <t>Verificar decremento de cantidad</t>
  </si>
  <si>
    <t>1. Producto con cantidad 3 o más</t>
  </si>
  <si>
    <t>Nueva cantidad: 2 (uno menos)</t>
  </si>
  <si>
    <t>TC-CART-MOD-003</t>
  </si>
  <si>
    <t>Verificar actualización de subtotal</t>
  </si>
  <si>
    <t>CART-REQ-014</t>
  </si>
  <si>
    <t>Validar que subtotal se actualiza al modificar cantidad</t>
  </si>
  <si>
    <t>1. Producto con precio conocido</t>
  </si>
  <si>
    <t>Cantidad: 1 → 3</t>
  </si>
  <si>
    <t>TC-CART-MOD-004</t>
  </si>
  <si>
    <t>Verificar actualización de total</t>
  </si>
  <si>
    <t>CART-REQ-015</t>
  </si>
  <si>
    <t>Confirmar que total final se recalcula</t>
  </si>
  <si>
    <t>1. Carrito con productos</t>
  </si>
  <si>
    <t>TC-CART-MOD-005</t>
  </si>
  <si>
    <t>Eliminar producto del carrito</t>
  </si>
  <si>
    <t>CART-REQ-016</t>
  </si>
  <si>
    <t>Verificar eliminación de producto</t>
  </si>
  <si>
    <t>1. Al menos 2 productos en carrito</t>
  </si>
  <si>
    <t>TC-CART-MOD-006</t>
  </si>
  <si>
    <t>Verificar confirmación de eliminación</t>
  </si>
  <si>
    <t>CART-REQ-017</t>
  </si>
  <si>
    <t>Validar que sistema pide confirmación antes de eliminar</t>
  </si>
  <si>
    <t>1. Producto en carrito</t>
  </si>
  <si>
    <t>TC-CART-MOD-007</t>
  </si>
  <si>
    <t>Vaciar carrito completo</t>
  </si>
  <si>
    <t>CART-REQ-018</t>
  </si>
  <si>
    <t>Verificar funcionalidad de vaciar todo el carrito</t>
  </si>
  <si>
    <t>1. Múltiples productos en carrito</t>
  </si>
  <si>
    <t>TC-CART-MOD-008</t>
  </si>
  <si>
    <t>Cambiar cantidad a 0</t>
  </si>
  <si>
    <t>Verificar comportamiento al poner cantidad en 0</t>
  </si>
  <si>
    <t>Nueva cantidad: 0</t>
  </si>
  <si>
    <t>TC-CART-MOD-009</t>
  </si>
  <si>
    <t>Intentar agregar más del stock disponible</t>
  </si>
  <si>
    <t>Validar límite de stock</t>
  </si>
  <si>
    <t>1. Producto con stock limitado (ej: 10 unidades)</t>
  </si>
  <si>
    <t>Cantidad: 15 (más del stock)</t>
  </si>
  <si>
    <t>TC-CART-PERS-001</t>
  </si>
  <si>
    <t>Verificar persistencia en sesión</t>
  </si>
  <si>
    <t>CART-REQ-019</t>
  </si>
  <si>
    <t>Confirmar que productos se mantienen al navegar</t>
  </si>
  <si>
    <t>TC-CART-PERS-002</t>
  </si>
  <si>
    <t>Verificar mensaje de carrito vacío</t>
  </si>
  <si>
    <t>CART-REQ-020</t>
  </si>
  <si>
    <t>Validar mensaje cuando no hay productos</t>
  </si>
  <si>
    <t>1. Carrito completamente vacío</t>
  </si>
  <si>
    <t>1. En página de categoría  2. Carrito puede estar vacío o con productos</t>
  </si>
  <si>
    <t>1. Navegar a categoría de productos  2. Localizar botón "Add to cart" en un producto  3. Click en "Add to cart"  4. Observar feedback</t>
  </si>
  <si>
    <t>1. Mensaje de confirmación aparece  2. Producto agregado al carrito  3. Contador del carrito se incrementa  4. Modal o notificación visible</t>
  </si>
  <si>
    <t>Producto: Producto específico  Cantidad: 1</t>
  </si>
  <si>
    <t>1. Navegar a detalle de producto  2. Click en "Add to cart"  3. Verificar agregado</t>
  </si>
  <si>
    <t>1. Producto agregado exitosamente  2. Confirmación visual  3. Cantidad correcta  4. Precio correcto en carrito</t>
  </si>
  <si>
    <t>1. Agregar producto al carrito  2. Observar mensajes mostrados</t>
  </si>
  <si>
    <t>1. Mensaje de éxito visible  2. Indica producto agregado  3. Puede mostrar mini-resumen  4. Opción de ver carrito o continuar comprando</t>
  </si>
  <si>
    <t>1. Carrito con contador visible  2. Contador en 0 o N productos</t>
  </si>
  <si>
    <t>1. Observar contador actual  2. Agregar producto  3. Verificar nuevo contador</t>
  </si>
  <si>
    <t>1. Contador se incrementa en 1  2. Actualización inmediata  3. Número visible en header  4. Refleja cantidad total de items</t>
  </si>
  <si>
    <t>1. Agregar producto X al carrito  2. Agregar producto X nuevamente  3. Ir a carrito  4. Verificar cantidad</t>
  </si>
  <si>
    <t>1. Cantidad del producto se incrementa  2. No crea entrada duplicada O  3. Crea nueva línea (según lógica del sistema)  4. Subtotal actualizado correctamente</t>
  </si>
  <si>
    <t>1. En página de detalle  2. Selector de cantidad visible</t>
  </si>
  <si>
    <t>Producto: Producto A  Cantidad: 5</t>
  </si>
  <si>
    <t>1. Ir a detalle de producto  2. Cambiar cantidad a 5  3. Click "Add to cart"  4. Verificar carrito</t>
  </si>
  <si>
    <t>1. 5 unidades agregadas  2. Cantidad correcta en carrito  3. Subtotal = precio × 5  4. Contador refleja cantidad</t>
  </si>
  <si>
    <t>1. Click en icono de carrito  2. Navegar a página del carrito  3. Observar contenido</t>
  </si>
  <si>
    <t>1. Todos los productos visibles  2. Lista clara de items  3. Página de carrito cargada  4. Información organizada</t>
  </si>
  <si>
    <t>1. Estar en página de carrito  2. Revisar cada producto  3. Verificar campos mostrados</t>
  </si>
  <si>
    <t>1. Imagen del producto visible  2. Nombre completo  3. Precio unitario mostrado  4. Cantidad visible  5. Subtotal por producto calculado</t>
  </si>
  <si>
    <t>1. Múltiples productos en carrito  2. Diferentes precios y cantidades</t>
  </si>
  <si>
    <t>1. Agregar productos con precios específicos  2. Ir a carrito  3. Calcular manualmente subtotal  4. Comparar con sistema</t>
  </si>
  <si>
    <t>1. Subtotal = Suma de (Precio × Cantidad)  2. Cálculo correcto  3. Etiqueta "Subtotal" visible  4. Formato de moneda correcto</t>
  </si>
  <si>
    <t>1. Productos en carrito  2. Sistema con impuestos configurados</t>
  </si>
  <si>
    <t>1. Revisar carrito con productos  2. Localizar sección de impuestos  3. Verificar cálculo</t>
  </si>
  <si>
    <t>1. Impuestos mostrados separadamente  2. Porcentaje o monto visible  3. Cálculo correcto basado en subtotal  4. Etiqueta clara "Tax" o "VAT"</t>
  </si>
  <si>
    <t>1. Estar en página de carrito  2. Buscar sección de envío  3. Verificar información</t>
  </si>
  <si>
    <t>1. Costo de envío indicado O  2. Mensaje "Calculated at checkout"  3. Información clara  4. Puede mostrar opciones de envío</t>
  </si>
  <si>
    <t>1. Productos en carrito  2. Subtotal, impuestos y envío visibles</t>
  </si>
  <si>
    <t>1. Verificar subtotal  2. Verificar impuestos  3. Verificar envío  4. Calcular total manualmente  5. Comparar con total del sistema</t>
  </si>
  <si>
    <t>1. Total = Subtotal + Impuestos + Envío  2. Cálculo exacto  3. Formato destacado  4. Etiqueta "Total" claramente visible</t>
  </si>
  <si>
    <t>1. Hover o click en icono de carrito en header  2. Observar mini-carrito desplegable</t>
  </si>
  <si>
    <t>1. Mini-carrito se despliega  2. Resumen de productos visible  3. Cantidad y total mostrados  4. Link a ver carrito completo  5. Posible opción de quick-remove</t>
  </si>
  <si>
    <t>1. Ir a carrito  2. Localizar selector de cantidad  3. Incrementar a 2  4. Aplicar cambio</t>
  </si>
  <si>
    <t>1. Cantidad actualizada a 2  2. Subtotal del producto actualizado  3. Total general actualizado  4. Cambio reflejado inmediatamente</t>
  </si>
  <si>
    <t>1. Estar en carrito  2. Reducir cantidad en 1  3. Actualizar</t>
  </si>
  <si>
    <t>1. Cantidad disminuida correctamente  2. Subtotal ajustado  3. Total recalculado  4. Producto permanece en carrito</t>
  </si>
  <si>
    <t>1. Producto con precio $10, cantidad 1  2. Cambiar cantidad a 3  3. Verificar subtotal</t>
  </si>
  <si>
    <t>1. Subtotal cambia de $10 a $30  2. Cálculo automático  3. Actualización inmediata  4. Sin necesidad de recargar página</t>
  </si>
  <si>
    <t>1. Modificar cantidad de un producto  2. Observar sección de total  3. Verificar recálculo</t>
  </si>
  <si>
    <t>1. Total se actualiza automáticamente  2. Incluye impuestos y envío actualizados  3. Cálculo correcto  4. Cambio visible</t>
  </si>
  <si>
    <t>1. Estar en carrito  2. Localizar icono/botón de eliminar (X, trash)  3. Click en eliminar  4. Confirmar si hay prompt</t>
  </si>
  <si>
    <t>1. Producto removido del carrito  2. Ya no visible en lista  3. Total ajustado  4. Contador actualizado  5. Otros productos permanecen</t>
  </si>
  <si>
    <t>1. Click en eliminar producto  2. Observar si aparece confirmación</t>
  </si>
  <si>
    <t>1. Modal o mensaje de confirmación aparece O  2. Eliminación directa (según UX)  3. Opción de cancelar si hay confirmación  4. Comportamiento claro</t>
  </si>
  <si>
    <t>1. Localizar botón "Empty cart" o "Clear cart"  2. Click en vaciar  3. Confirmar acción si requerido</t>
  </si>
  <si>
    <t>1. Todos los productos eliminados  2. Carrito muestra estado vacío  3. Total en $0  4. Mensaje "Your cart is empty"</t>
  </si>
  <si>
    <t>1. Cambiar cantidad a 0 manualmente  2. Intentar actualizar  3. Observar comportamiento</t>
  </si>
  <si>
    <t>1. Sistema no permite cantidad 0 O  2. Elimina producto automáticamente  3. Mensaje apropiado  4. No causa error</t>
  </si>
  <si>
    <t>1. Producto con 10 en stock  2. Intentar cambiar cantidad a 15  3. Aplicar cambio</t>
  </si>
  <si>
    <t>1. Sistema previene el cambio O  2. Ajusta a máximo disponible (10)  3. Mensaje "Only 10 available"  4. No permite exceder stock</t>
  </si>
  <si>
    <t>1. Productos agregados al carrito  2. Usuario logueado o sesión activa</t>
  </si>
  <si>
    <t>1. Agregar productos al carrito  2. Navegar a otras páginas  3. Regresar a carrito  4. Verificar contenido</t>
  </si>
  <si>
    <t>1. Productos se mantienen en carrito  2. Cantidades correctas  3. No se pierden al navegar  4. Sesión mantiene carrito</t>
  </si>
  <si>
    <t>TC-CHECK-START-001</t>
  </si>
  <si>
    <t>Verificar botón de checkout</t>
  </si>
  <si>
    <t>Checkout</t>
  </si>
  <si>
    <t>CHECK-REQ-001</t>
  </si>
  <si>
    <t>Confirmar que botón "Proceder al pago" es visible</t>
  </si>
  <si>
    <t>TC-CHECK-START-002</t>
  </si>
  <si>
    <t>Click en proceder al pago</t>
  </si>
  <si>
    <t>CHECK-REQ-002</t>
  </si>
  <si>
    <t>Verificar redirección al checkout</t>
  </si>
  <si>
    <t>TC-CHECK-START-003</t>
  </si>
  <si>
    <t>Checkout sin login</t>
  </si>
  <si>
    <t>CHECK-REQ-003</t>
  </si>
  <si>
    <t>Validar que se requiere autenticación</t>
  </si>
  <si>
    <t>TC-CHECK-START-004</t>
  </si>
  <si>
    <t>Verificar redirección a login</t>
  </si>
  <si>
    <t>CHECK-REQ-004</t>
  </si>
  <si>
    <t>Confirmar redirección apropiada a login</t>
  </si>
  <si>
    <t>TC-CHECK-ADDR-001</t>
  </si>
  <si>
    <t>Verificar formulario de dirección</t>
  </si>
  <si>
    <t>CHECK-REQ-005</t>
  </si>
  <si>
    <t>Confirmar que se solicita dirección de envío</t>
  </si>
  <si>
    <t>TC-CHECK-ADDR-002</t>
  </si>
  <si>
    <t>Verificar campos de dirección</t>
  </si>
  <si>
    <t>CHECK-REQ-006</t>
  </si>
  <si>
    <t>Validar que todos los campos necesarios están presentes</t>
  </si>
  <si>
    <t>1. En formulario de dirección</t>
  </si>
  <si>
    <t>TC-CHECK-ADDR-003</t>
  </si>
  <si>
    <t>Enviar dirección con campos vacíos</t>
  </si>
  <si>
    <t>CHECK-REQ-007</t>
  </si>
  <si>
    <t>Verificar validación de campos obligatorios</t>
  </si>
  <si>
    <t>TC-CHECK-ADDR-004</t>
  </si>
  <si>
    <t>Dirección con código postal inválido</t>
  </si>
  <si>
    <t>CHECK-REQ-008</t>
  </si>
  <si>
    <t>Validar formato de código postal</t>
  </si>
  <si>
    <t>CP: "ABCD" (letras) para país que requiere números</t>
  </si>
  <si>
    <t>TC-CHECK-ADDR-005</t>
  </si>
  <si>
    <t>Dirección con teléfono inválido</t>
  </si>
  <si>
    <t>CHECK-REQ-009</t>
  </si>
  <si>
    <t>Validar formato de número telefónico</t>
  </si>
  <si>
    <t>1. En formulario</t>
  </si>
  <si>
    <t>Teléfono: "ABC-DEFG" (letras)</t>
  </si>
  <si>
    <t>TC-CHECK-ADDR-006</t>
  </si>
  <si>
    <t>Seleccionar dirección existente</t>
  </si>
  <si>
    <t>CHECK-REQ-010</t>
  </si>
  <si>
    <t>Verificar uso de dirección guardada</t>
  </si>
  <si>
    <t>TC-CHECK-ADDR-007</t>
  </si>
  <si>
    <t>Dirección válida completa</t>
  </si>
  <si>
    <t>CHECK-REQ-011</t>
  </si>
  <si>
    <t>Validar envío exitoso de dirección completa</t>
  </si>
  <si>
    <t>TC-CHECK-SHIP-001</t>
  </si>
  <si>
    <t>Verificar métodos de envío disponibles</t>
  </si>
  <si>
    <t>CHECK-REQ-012</t>
  </si>
  <si>
    <t>Confirmar que se muestran opciones de envío</t>
  </si>
  <si>
    <t>1. Agregar producto al carrito  2. Ir a página de carrito  3. Localizar botón de checkout</t>
  </si>
  <si>
    <t>1. Botón "Proceed to checkout" visible  2. Ubicado prominentemente  3. Claramente clickeable  4. Call-to-action claro</t>
  </si>
  <si>
    <t>1. Productos en carrito  2. Usuario logueado</t>
  </si>
  <si>
    <t>1. Estar en carrito  2. Click en "Proceed to checkout"  3. Observar navegación</t>
  </si>
  <si>
    <t>1. Redirige a página de checkout  2. Primer paso de checkout visible  3. URL cambia a /checkout o similar  4. Proceso inicia correctamente</t>
  </si>
  <si>
    <t>1. Usuario NO logueado  2. Productos en carrito</t>
  </si>
  <si>
    <t>1. Sin login, agregar productos  2. Ir a carrito  3. Click en "Proceed to checkout"</t>
  </si>
  <si>
    <t>1. Sistema solicita login O  2. Redirige a página de login  3. Mensaje indica necesidad de login  4. Carrito se preserva</t>
  </si>
  <si>
    <t>1. Usuario no autenticado  2. Intentando checkout</t>
  </si>
  <si>
    <t>1. Sin login, intentar checkout  2. Verificar URL y página</t>
  </si>
  <si>
    <t>1. Redirige a /login  2. Mensaje explica necesidad de login  3. Opción de registrarse visible  4. Puede recordar intent de checkout</t>
  </si>
  <si>
    <t>1. Usuario logueado  2. En proceso de checkout</t>
  </si>
  <si>
    <t>1. Iniciar checkout  2. Llegar a paso de dirección  3. Observar formulario</t>
  </si>
  <si>
    <t>1. Formulario de dirección visible  2. Campos claramente etiquetados  3. Instrucciones claras  4. Diseño organizado</t>
  </si>
  <si>
    <t>1. Estar en paso de dirección  2. Revisar campos del formulario</t>
  </si>
  <si>
    <t>1. Campo "Full Name" presente  2. Campo "Address" presente  3. Campo "City" presente  4. Campo "Postal Code" presente  5. Dropdown "Country" presente  6. Campo "Phone" presente</t>
  </si>
  <si>
    <t>1. Dejar todos los campos vacíos  2. Click en "Continue" o "Next"  3. Observar validación</t>
  </si>
  <si>
    <t>1. Sistema previene avanzar  2. Mensajes de error en campos requeridos  3. Indica "This field is required"  4. Campos resaltados en rojo</t>
  </si>
  <si>
    <t>1. Completar formulario  2. Ingresar CP inválido según país  3. Intentar continuar</t>
  </si>
  <si>
    <t>1. Sistema valida formato  2. Mensaje de error para CP  3. Indica formato esperado  4. No permite continuar</t>
  </si>
  <si>
    <t>1. Completar campos  2. Ingresar teléfono con letras  3. Intentar avanzar</t>
  </si>
  <si>
    <t>1. Validación de formato telefónico  2. Error en campo teléfono  3. Indica formato válido  4. Solo acepta números y caracteres válidos</t>
  </si>
  <si>
    <t>1. Usuario con dirección previamente guardada  2. En checkout</t>
  </si>
  <si>
    <t>1. Llegar a paso de dirección  2. Ver opciones de dirección  3. Seleccionar dirección guardada  4. Continuar</t>
  </si>
  <si>
    <t>1. Direcciones guardadas listadas  2. Posibilidad de seleccionar  3. Datos pre-llenados  4. Opción de editar o usar nueva</t>
  </si>
  <si>
    <t>Nombre: Juan Pérez  Dirección: Calle 123  Ciudad: Madrid  CP: 28001  País: España  Teléfono: +34912345678</t>
  </si>
  <si>
    <t>1. Completar todos los campos correctamente  2. Click en "Continue"  3. Verificar progreso</t>
  </si>
  <si>
    <t>1. Dirección aceptada  2. Avanza al siguiente paso  3. Sin mensajes de error  4. Dirección guardada para la orden</t>
  </si>
  <si>
    <t>1. Dirección de envío completada  2. En paso de método de envío</t>
  </si>
  <si>
    <t>1. Completar dirección  2. Avanzar a método de envío  3. Observar opciones</t>
  </si>
  <si>
    <t>1. Lista de métodos de envío visible  2. Al menos 1 opción disponible  3. Radio buttons o checkboxes para seleccionar  4. Información clara</t>
  </si>
  <si>
    <t>TC-CAT-LIST-001</t>
  </si>
  <si>
    <t>Verificar vista grid de productos</t>
  </si>
  <si>
    <t>Catálogo</t>
  </si>
  <si>
    <t>CAT-REQ-001</t>
  </si>
  <si>
    <t>Validar que los productos se muestran en formato grid (cuadrícula)</t>
  </si>
  <si>
    <t>TC-CAT-LIST-002</t>
  </si>
  <si>
    <t>Verificar información de producto en listado</t>
  </si>
  <si>
    <t>CAT-REQ-002</t>
  </si>
  <si>
    <t>Validar que cada producto muestra información básica requerida</t>
  </si>
  <si>
    <t>1. En página de categoría con productos</t>
  </si>
  <si>
    <t>TC-CAT-LIST-003</t>
  </si>
  <si>
    <t>Verificar indicador de descuento</t>
  </si>
  <si>
    <t>CAT-REQ-003</t>
  </si>
  <si>
    <t>Confirmar que productos con descuento tienen indicador visible</t>
  </si>
  <si>
    <t>1. Categoría con productos en descuento</t>
  </si>
  <si>
    <t>TC-CAT-LIST-004</t>
  </si>
  <si>
    <t>Verificar precios en productos con descuento</t>
  </si>
  <si>
    <t>CAT-REQ-004</t>
  </si>
  <si>
    <t>Validar visualización de precio original y precio con descuento</t>
  </si>
  <si>
    <t>1. Producto con descuento disponible</t>
  </si>
  <si>
    <t>TC-CAT-LIST-005</t>
  </si>
  <si>
    <t>Verificar indicador de stock</t>
  </si>
  <si>
    <t>CAT-REQ-005</t>
  </si>
  <si>
    <t>Confirmar que se muestra disponibilidad de stock</t>
  </si>
  <si>
    <t>1. Productos con diferentes estados de stock</t>
  </si>
  <si>
    <t>TC-CAT-LIST-006</t>
  </si>
  <si>
    <t>Click en producto desde listado</t>
  </si>
  <si>
    <t>CAT-REQ-006</t>
  </si>
  <si>
    <t>Verificar que hacer click en producto abre página de detalle</t>
  </si>
  <si>
    <t>1. En listado de productos</t>
  </si>
  <si>
    <t>Producto: Cualquier producto del catálogo</t>
  </si>
  <si>
    <t>TC-CAT-PAG-001</t>
  </si>
  <si>
    <t>Verificar paginación automática</t>
  </si>
  <si>
    <t>CAT-REQ-007</t>
  </si>
  <si>
    <t>Validar que la paginación aparece cuando hay muchos productos</t>
  </si>
  <si>
    <t>1. Categoría con más de X productos (ej: &gt;12)</t>
  </si>
  <si>
    <t>TC-CAT-PAG-002</t>
  </si>
  <si>
    <t>Verificar numeración de páginas</t>
  </si>
  <si>
    <t>CAT-REQ-008</t>
  </si>
  <si>
    <t>Confirmar que se muestra página actual y total de páginas</t>
  </si>
  <si>
    <t>1. Categoría con múltiples páginas</t>
  </si>
  <si>
    <t>TC-CAT-PAG-003</t>
  </si>
  <si>
    <t>Navegar a página siguiente</t>
  </si>
  <si>
    <t>CAT-REQ-009</t>
  </si>
  <si>
    <t>Verificar navegación a la siguiente página de productos</t>
  </si>
  <si>
    <t>1. En primera página de categoría paginada</t>
  </si>
  <si>
    <t>TC-CAT-PAG-004</t>
  </si>
  <si>
    <t>Navegar a página anterior</t>
  </si>
  <si>
    <t>Verificar navegación a la página anterior</t>
  </si>
  <si>
    <t>1. En página 2 o superior</t>
  </si>
  <si>
    <t>TC-CAT-PAG-005</t>
  </si>
  <si>
    <t>Saltar a página específica</t>
  </si>
  <si>
    <t>CAT-REQ-010</t>
  </si>
  <si>
    <t>Validar la funcionalidad de ir a una página específica</t>
  </si>
  <si>
    <t>1. Categoría con al menos 5 páginas</t>
  </si>
  <si>
    <t>Página destino: 3</t>
  </si>
  <si>
    <t>TC-CAT-VIEW-001</t>
  </si>
  <si>
    <t>Cambiar a 12 productos por página</t>
  </si>
  <si>
    <t>CAT-REQ-011</t>
  </si>
  <si>
    <t>Verificar cambio de cantidad de productos mostrados a 12</t>
  </si>
  <si>
    <t>Selección: 12 productos</t>
  </si>
  <si>
    <t>TC-CAT-VIEW-002</t>
  </si>
  <si>
    <t>Cambiar a 24 productos por página</t>
  </si>
  <si>
    <t>Verificar cambio a 24 productos por página</t>
  </si>
  <si>
    <t>Selección: 24 productos</t>
  </si>
  <si>
    <t>TC-CAT-VIEW-003</t>
  </si>
  <si>
    <t>Cambiar a 36 productos por página</t>
  </si>
  <si>
    <t>Verificar cambio a 36 productos por página</t>
  </si>
  <si>
    <t>Selección: 36 productos</t>
  </si>
  <si>
    <t>TC-CAT-VIEW-004</t>
  </si>
  <si>
    <t>Cambiar a vista de lista</t>
  </si>
  <si>
    <t>CAT-REQ-012</t>
  </si>
  <si>
    <t>Verificar cambio de vista grid a lista</t>
  </si>
  <si>
    <t>Vista: Lista</t>
  </si>
  <si>
    <t>TC-CAT-VIEW-005</t>
  </si>
  <si>
    <t>Cambiar a vista de grid</t>
  </si>
  <si>
    <t>Verificar cambio de vista lista a grid</t>
  </si>
  <si>
    <t>1. Productos en vista lista</t>
  </si>
  <si>
    <t>Vista: Grid</t>
  </si>
  <si>
    <t>TC-CAT-VIEW-006</t>
  </si>
  <si>
    <t>Verificar persistencia de vista</t>
  </si>
  <si>
    <t>CAT-REQ-013</t>
  </si>
  <si>
    <t>Confirmar que la selección de vista se mantiene al navegar</t>
  </si>
  <si>
    <t>1. Vista modificada a lista o cantidad específica</t>
  </si>
  <si>
    <t>TC-CAT-CAT-001</t>
  </si>
  <si>
    <t>Navegar a categoría específica</t>
  </si>
  <si>
    <t>CAT-REQ-014</t>
  </si>
  <si>
    <t>Verificar navegación desde menú a categoría</t>
  </si>
  <si>
    <t>Categoría: Clothes</t>
  </si>
  <si>
    <t>TC-CAT-CAT-002</t>
  </si>
  <si>
    <t>Filtrar productos por categoría</t>
  </si>
  <si>
    <t>CAT-REQ-015</t>
  </si>
  <si>
    <t>Validar que solo se muestran productos de la categoría seleccionada</t>
  </si>
  <si>
    <t>1. Categoría con productos conocidos</t>
  </si>
  <si>
    <t>Categoría: Accessories</t>
  </si>
  <si>
    <t>TC-CAT-CAT-003</t>
  </si>
  <si>
    <t>Verificar subcategorías visibles</t>
  </si>
  <si>
    <t>CAT-REQ-016</t>
  </si>
  <si>
    <t>Confirmar que las subcategorías se muestran cuando existen</t>
  </si>
  <si>
    <t>1. Categoría con subcategorías (ej: Clothes → Men, Women)</t>
  </si>
  <si>
    <t>TC-CAT-CAT-004</t>
  </si>
  <si>
    <t>Verificar contador de productos al cambiar categoría</t>
  </si>
  <si>
    <t>CAT-REQ-017</t>
  </si>
  <si>
    <t>Validar que el contador se actualiza con cada categoría</t>
  </si>
  <si>
    <t>1. Navegando entre categorías</t>
  </si>
  <si>
    <t>TC-CAT-CAT-005</t>
  </si>
  <si>
    <t>Verificar breadcrumbs en categoría</t>
  </si>
  <si>
    <t>CAT-REQ-018</t>
  </si>
  <si>
    <t>Confirmar que breadcrumbs reflejan la navegación de categorías</t>
  </si>
  <si>
    <t>1. Navegando en subcategoría</t>
  </si>
  <si>
    <t>Ruta: Home &gt; Clothes &gt; Men</t>
  </si>
  <si>
    <t>1. Acceso al sitio demo  2. Navegador compatible  3. Categoría con productos disponible</t>
  </si>
  <si>
    <t>1. Navegar a https://demo.prestashop.com/  2. Click en cualquier categoría de productos  3. Observar la disposición de productos en la página</t>
  </si>
  <si>
    <t>1. Productos se muestran en formato grid  2. Productos alineados en filas y columnas  3. Espaciado uniforme entre productos  4. Layout responsive y organizado</t>
  </si>
  <si>
    <t>1. Navegar a categoría de productos  2. Observar cada tarjeta de producto  3. Verificar elementos mostrados</t>
  </si>
  <si>
    <t>1. Imagen del producto visible  2. Nombre del producto visible  3. Precio del producto visible  4. Información clara y legible  5. Diseño consistente en todos los productos</t>
  </si>
  <si>
    <t>1. Navegar a categoría  2. Identificar productos con descuento  3. Verificar indicadores visuales</t>
  </si>
  <si>
    <t>1. Badge o etiqueta de descuento visible  2. Porcentaje o monto de descuento mostrado  3. Indicador es claramente visible  4. Diseño atractivo y destacado</t>
  </si>
  <si>
    <t>1. Localizar producto con descuento  2. Verificar precios mostrados</t>
  </si>
  <si>
    <t>1. Precio original visible (tachado)  2. Precio con descuento destacado  3. Diferencia de precios clara  4. Ahorro evidente para el usuario</t>
  </si>
  <si>
    <t>1. Navegar a listado de productos  2. Observar indicadores de disponibilidad</t>
  </si>
  <si>
    <t>1. Indicador "In stock" visible en productos disponibles  2. Indicador "Out of stock" en productos agotados  3. Estados claramente diferenciados  4. Información precisa</t>
  </si>
  <si>
    <t>1. Navegar a categoría de productos  2. Click en imagen o nombre de un producto  3. Observar navegación</t>
  </si>
  <si>
    <t>1. Página de detalle del producto se abre  2. URL cambia a página del producto  3. Información detallada del producto visible  4. Navegación fluida sin errores</t>
  </si>
  <si>
    <t>1. Navegar a categoría con muchos productos  2. Scroll hasta el final de la página  3. Observar controles de paginación</t>
  </si>
  <si>
    <t>1. Controles de paginación visibles  2. Números de página mostrados  3. Botones Siguiente/Anterior presentes  4. Paginación funcional</t>
  </si>
  <si>
    <t>1. Ir a categoría paginada  2. Observar información de paginación</t>
  </si>
  <si>
    <t>1. Número de página actual visible  2. Total de páginas mostrado  3. Formato claro (ej: "Página 1 de 5")  4. Información actualizada al cambiar página</t>
  </si>
  <si>
    <t>1. Estar en página 1  2. Click en botón "Next" o "→"  3. Observar navegación</t>
  </si>
  <si>
    <t>1. Página 2 se carga  2. Nuevos productos mostrados  3. Número de página actualizado  4. URL actualizada con parámetro de página</t>
  </si>
  <si>
    <t>1. Navegar a página 2 o superior  2. Click en botón "Previous" o "←"  3. Verificar navegación</t>
  </si>
  <si>
    <t>1. Página anterior se carga  2. Productos anteriores mostrados  3. Numeración correcta  4. Navegación fluida</t>
  </si>
  <si>
    <t>1. Estar en página 1  2. Click en número "3" en paginación  3. Observar navegación</t>
  </si>
  <si>
    <t>1. Sistema navega a página 3  2. Productos de página 3 visibles  3. Número 3 resaltado como activo  4. Transición sin errores</t>
  </si>
  <si>
    <t>1. En listado de productos  2. Selector de cantidad visible</t>
  </si>
  <si>
    <t>1. Localizar dropdown de cantidad  2. Seleccionar "12"  3. Observar actualización</t>
  </si>
  <si>
    <t>1. Página se actualiza  2. Exactamente 12 productos mostrados  3. Paginación se ajusta  4. Selección persistente</t>
  </si>
  <si>
    <t>1. Seleccionar "24" en dropdown  2. Esperar actualización  3. Contar productos visibles</t>
  </si>
  <si>
    <t>1. 24 productos mostrados  2. Scroll más largo  3. Menos páginas totales  4. Performance aceptable</t>
  </si>
  <si>
    <t>1. Seleccionar "36" en dropdown  2. Observar carga  3. Verificar cantidad</t>
  </si>
  <si>
    <t>1. 36 productos visibles  2. Una sola página o pocas páginas  3. Carga completa sin errores  4. Layout mantiene organización</t>
  </si>
  <si>
    <t>1. Productos en vista grid  2. Opción de vista disponible</t>
  </si>
  <si>
    <t>1. Localizar icono de vista lista  2. Click en icono de lista  3. Observar cambio de layout</t>
  </si>
  <si>
    <t>1. Vista cambia a lista  2. Productos en una columna  3. Más información visible por producto  4. Cambio visual claro</t>
  </si>
  <si>
    <t>1. Estar en vista lista  2. Click en icono de grid/cuadrícula  3. Verificar cambio</t>
  </si>
  <si>
    <t>1. Vista vuelve a grid  2. Productos en filas y columnas  3. Layout compacto  4. Transición suave</t>
  </si>
  <si>
    <t>1. Cambiar vista a lista  2. Navegar a otra categoría  3. Verificar vista en nueva categoría</t>
  </si>
  <si>
    <t>1. Vista se mantiene en lista  2. Preferencia guardada en sesión  3. Consistencia al navegar  4. Usuario no necesita reconfigurar</t>
  </si>
  <si>
    <t>1. En home page  2. Menú de categorías visible</t>
  </si>
  <si>
    <t>1. Ir a página principal  2. Click en categoría "Clothes" en menú  3. Observar página cargada</t>
  </si>
  <si>
    <t>1. Página de categoría se carga  2. Título de categoría visible  3. Productos de la categoría mostrados  4. URL refleja la categoría</t>
  </si>
  <si>
    <t>1. Seleccionar categoría "Accessories"  2. Verificar productos mostrados  3. Confirmar que todos pertenecen a la categoría</t>
  </si>
  <si>
    <t>1. Solo productos de Accessories visibles  2. No hay productos de otras categorías  3. Filtrado correcto  4. Cantidad de productos coherente</t>
  </si>
  <si>
    <t>1. Navegar a categoría principal  2. Observar sección de subcategorías  3. Verificar listado</t>
  </si>
  <si>
    <t>1. Subcategorías listadas visiblemente  2. Nombres claros de subcategorías  3. Links funcionales a cada subcategoría  4. Organización jerárquica clara</t>
  </si>
  <si>
    <t>1. Estar en categoría A  2. Observar contador de productos  3. Cambiar a categoría B  4. Verificar nuevo contador</t>
  </si>
  <si>
    <t>1. Contador muestra cantidad en categoría A  2. Al cambiar, contador se actualiza  3. Número refleja productos en categoría B  4. Actualización correcta y visible</t>
  </si>
  <si>
    <t>1. Navegar a subcategoría (ej: Men)  2. Observar breadcrumbs en parte superior  3. Verificar ruta completa</t>
  </si>
  <si>
    <t>1. Breadcrumbs visibles  2. Ruta completa mostrada: Home &gt; Clothes &gt; Men  3. Cada elemento es un link funcional  4. Separadores claros entre niveles</t>
  </si>
  <si>
    <t>TC-SEARCH-001</t>
  </si>
  <si>
    <t>Verificar campo de búsqueda en header</t>
  </si>
  <si>
    <t>Búsqueda</t>
  </si>
  <si>
    <t>SEARCH-REQ-001</t>
  </si>
  <si>
    <t>Confirmar que el campo de búsqueda es visible en todas las páginas</t>
  </si>
  <si>
    <t>1. Acceso al sitio demo</t>
  </si>
  <si>
    <t>TC-SEARCH-002</t>
  </si>
  <si>
    <t>Búsqueda con palabra clave válida</t>
  </si>
  <si>
    <t>SEARCH-REQ-002</t>
  </si>
  <si>
    <t>Verificar búsqueda de productos con término válido</t>
  </si>
  <si>
    <t>1. En cualquier página del sitio</t>
  </si>
  <si>
    <t>Término búsqueda: "shirt"</t>
  </si>
  <si>
    <t>TC-SEARCH-003</t>
  </si>
  <si>
    <t>Verificar relevancia de resultados</t>
  </si>
  <si>
    <t>SEARCH-REQ-003</t>
  </si>
  <si>
    <t>Validar que los resultados son relevantes al término buscado</t>
  </si>
  <si>
    <t>1. Campo de búsqueda disponible</t>
  </si>
  <si>
    <t>Término: "dress"</t>
  </si>
  <si>
    <t>TC-SEARCH-004</t>
  </si>
  <si>
    <t>Verificar sugerencias de autocompletado</t>
  </si>
  <si>
    <t>SEARCH-REQ-004</t>
  </si>
  <si>
    <t>Confirmar que aparecen sugerencias mientras se escribe</t>
  </si>
  <si>
    <t>1. Campo de búsqueda activo</t>
  </si>
  <si>
    <t>Término parcial: "sh"</t>
  </si>
  <si>
    <t>TC-SEARCH-005</t>
  </si>
  <si>
    <t>SEARCH-REQ-005</t>
  </si>
  <si>
    <t>Verificar mensaje apropiado cuando no hay resultados</t>
  </si>
  <si>
    <t>1. Campo de búsqueda</t>
  </si>
  <si>
    <t>Término: "xyzabc123" (inexistente)</t>
  </si>
  <si>
    <t>TC-SEARCH-006</t>
  </si>
  <si>
    <t>Búsqueda con campo vacío</t>
  </si>
  <si>
    <t>SEARCH-REQ-006</t>
  </si>
  <si>
    <t>Validar comportamiento al buscar sin ingresar término</t>
  </si>
  <si>
    <t>Campo: vacío</t>
  </si>
  <si>
    <t>TC-SEARCH-007</t>
  </si>
  <si>
    <t>Búsqueda con caracteres especiales</t>
  </si>
  <si>
    <t>Verificar manejo de caracteres especiales en búsqueda</t>
  </si>
  <si>
    <t>Término: "shirt &lt;script&gt;"</t>
  </si>
  <si>
    <t>TC-SEARCH-008</t>
  </si>
  <si>
    <t>Búsqueda case insensitive</t>
  </si>
  <si>
    <t>Verificar que búsqueda no diferencia mayúsculas/minúsculas</t>
  </si>
  <si>
    <t>Términos: "SHIRT", "shirt", "ShIrT"</t>
  </si>
  <si>
    <t>TC-FILTER-001</t>
  </si>
  <si>
    <t>Aplicar filtro de precio mínimo/máximo</t>
  </si>
  <si>
    <t>Filtros</t>
  </si>
  <si>
    <t>FILTER-REQ-001</t>
  </si>
  <si>
    <t>Verificar filtrado por rango de precio</t>
  </si>
  <si>
    <t>TC-FILTER-002</t>
  </si>
  <si>
    <t>Aplicar filtro de categoría</t>
  </si>
  <si>
    <t>FILTER-REQ-002</t>
  </si>
  <si>
    <t>Validar filtrado por categoría específica</t>
  </si>
  <si>
    <t>1. Productos de múltiples categorías visibles</t>
  </si>
  <si>
    <t>Categoría: "Accessories"</t>
  </si>
  <si>
    <t>TC-FILTER-003</t>
  </si>
  <si>
    <t>Aplicar filtro de marca</t>
  </si>
  <si>
    <t>FILTER-REQ-003</t>
  </si>
  <si>
    <t>Verificar filtrado por marca/fabricante</t>
  </si>
  <si>
    <t>1. Productos de diferentes marcas</t>
  </si>
  <si>
    <t>Marca: "Studio Design"</t>
  </si>
  <si>
    <t>TC-FILTER-004</t>
  </si>
  <si>
    <t>Filtrar solo productos en stock</t>
  </si>
  <si>
    <t>FILTER-REQ-004</t>
  </si>
  <si>
    <t>Validar filtro de disponibilidad</t>
  </si>
  <si>
    <t>1. Productos con stock y sin stock</t>
  </si>
  <si>
    <t>Filtro: "In stock"</t>
  </si>
  <si>
    <t>TC-FILTER-005</t>
  </si>
  <si>
    <t>Verificar aplicación de filtros</t>
  </si>
  <si>
    <t>FILTER-REQ-005</t>
  </si>
  <si>
    <t>Confirmar que filtros se aplican correctamente</t>
  </si>
  <si>
    <t>1. Filtros seleccionados</t>
  </si>
  <si>
    <t>Filtros: Precio + Categoría</t>
  </si>
  <si>
    <t>TC-FILTER-006</t>
  </si>
  <si>
    <t>Verificar contador de resultados filtrados</t>
  </si>
  <si>
    <t>FILTER-REQ-006</t>
  </si>
  <si>
    <t>Validar que se muestra cantidad de productos filtrados</t>
  </si>
  <si>
    <t>1. Filtros aplicados</t>
  </si>
  <si>
    <t>TC-FILTER-007</t>
  </si>
  <si>
    <t>Botón limpiar filtros</t>
  </si>
  <si>
    <t>FILTER-REQ-007</t>
  </si>
  <si>
    <t>Verificar funcionalidad de limpiar todos los filtros</t>
  </si>
  <si>
    <t>1. Múltiples filtros aplicados</t>
  </si>
  <si>
    <t>TC-FILTER-008</t>
  </si>
  <si>
    <t>Aplicar múltiples filtros simultáneamente</t>
  </si>
  <si>
    <t>Validar combinación de varios filtros</t>
  </si>
  <si>
    <t>1. Múltiples opciones de filtro</t>
  </si>
  <si>
    <t>1. Navegar a home page  2. Verificar presencia de search box en header  3. Navegar a diferentes páginas  4. Verificar en cada página</t>
  </si>
  <si>
    <t>1. Campo de búsqueda visible en header  2. Presente en todas las páginas  3. Ubicación consistente  4. Accesible fácilmente</t>
  </si>
  <si>
    <t>1. Click en campo de búsqueda  2. Escribir "shirt"  3. Presionar Enter o click en lupa  4. Observar resultados</t>
  </si>
  <si>
    <t>1. Página de resultados se carga  2. Productos relacionados con "shirt" mostrados  3. Término de búsqueda visible en página  4. Resultados relevantes</t>
  </si>
  <si>
    <t>1. Buscar "dress"  2. Revisar productos en resultados  3. Verificar nombres y descripciones</t>
  </si>
  <si>
    <t>1. Todos los resultados contienen "dress" en nombre o descripción  2. Productos son relevantes  3. Orden lógico (relevancia)  4. No hay resultados no relacionados</t>
  </si>
  <si>
    <t>1. Click en búsqueda  2. Escribir "sh" lentamente  3. Observar dropdown de sugerencias</t>
  </si>
  <si>
    <t>1. Dropdown con sugerencias aparece  2. Sugerencias relevantes: "shirt", "shoes", etc.  3. Actualización en tiempo real  4. Selección de sugerencia funciona</t>
  </si>
  <si>
    <t>1. Buscar término que no existe  2. Observar página de resultados</t>
  </si>
  <si>
    <t>1. Mensaje claro "No results found" o similar  2. Sugerencias de búsqueda alternativa  3. Link para ver todos los productos  4. Experiencia de usuario positiva</t>
  </si>
  <si>
    <t>1. Click en campo de búsqueda  2. No escribir nada  3. Presionar Enter o click en buscar</t>
  </si>
  <si>
    <t>1. Sistema muestra todos los productos O  2. Sistema solicita ingresar término O  3. No causa error  4. Comportamiento predecible</t>
  </si>
  <si>
    <t>1. Ingresar término con caracteres especiales  2. Ejecutar búsqueda  3. Observar comportamiento</t>
  </si>
  <si>
    <t>1. Sistema maneja entrada sin errores  2. No ejecuta scripts  3. Entrada sanitizada  4. Resultados o mensaje apropiado</t>
  </si>
  <si>
    <t>1. Buscar "SHIRT"  2. Observar cantidad de resultados  3. Buscar "shirt"  4. Comparar resultados</t>
  </si>
  <si>
    <t>1. Mismos resultados con "SHIRT" y "shirt"  2. Búsqueda case insensitive  3. Consistencia en resultados  4. Usuario no penalizado por mayúsculas</t>
  </si>
  <si>
    <t>1. En listado de productos  2. Filtros visibles</t>
  </si>
  <si>
    <t>Precio min: $20  Precio max: $50</t>
  </si>
  <si>
    <t>1. Localizar filtro de precio  2. Ajustar slider o ingresar valores  3. Aplicar filtro  4. Verificar productos mostrados</t>
  </si>
  <si>
    <t>1. Solo productos entre $20-$50 visibles  2. Productos fuera de rango ocultos  3. Contador actualizado  4. Filtro aplicado correctamente</t>
  </si>
  <si>
    <t>1. Localizar filtro de categorías  2. Seleccionar "Accessories"  3. Aplicar  4. Revisar resultados</t>
  </si>
  <si>
    <t>1. Solo accesorios mostrados  2. Otras categorías filtradas  3. Filtro activo visible  4. Posibilidad de remover filtro</t>
  </si>
  <si>
    <t>1. Localizar filtro de marca  2. Seleccionar marca específica  3. Aplicar filtro</t>
  </si>
  <si>
    <t>1. Solo productos de marca seleccionada  2. Filtro reflejado en interfaz  3. Resultados precisos  4. Contador ajustado</t>
  </si>
  <si>
    <t>1. Activar checkbox "In stock"  2. Aplicar filtro  3. Verificar productos</t>
  </si>
  <si>
    <t>1. Solo productos disponibles mostrados  2. Productos agotados ocultos  3. Filtro claramente aplicado  4. Experiencia de usuario positiva</t>
  </si>
  <si>
    <t>1. Seleccionar múltiples filtros  2. Click en "Apply" o aplicación automática  3. Observar actualización</t>
  </si>
  <si>
    <t>1. Filtros se aplican correctamente  2. Productos actualizados  3. Transición suave  4. Todos los filtros respetados</t>
  </si>
  <si>
    <t>1. Aplicar cualquier filtro  2. Observar contador de productos</t>
  </si>
  <si>
    <t>1. Contador muestra número correcto  2. Formato claro: "X products found"  3. Actualización en tiempo real  4. Información visible</t>
  </si>
  <si>
    <t>1. Aplicar 2-3 filtros diferentes  2. Click en "Clear all" o similar  3. Verificar estado</t>
  </si>
  <si>
    <t>1. Todos los filtros se remueven  2. Productos sin filtrar mostrados  3. Interfaz vuelve a estado inicial  4. Un solo click limpia todo</t>
  </si>
  <si>
    <t>Precio: $20-$50  Categoría: Clothes  Marca: Studio Design</t>
  </si>
  <si>
    <t>1. Seleccionar precio  2. Añadir categoría  3. Añadir marca  4. Aplicar  5. Verificar resultados</t>
  </si>
  <si>
    <t>1. Productos cumplen TODOS los filtros  2. Lógica AND aplicada correctamente  3. Resultados precisos  4. Posibilidad de modificar filtros</t>
  </si>
  <si>
    <t>Caso diseñado pero aún no ejecutado</t>
  </si>
  <si>
    <t>En Progreso</t>
  </si>
  <si>
    <t>Caso en proceso de ejecución</t>
  </si>
  <si>
    <t>Pasado</t>
  </si>
  <si>
    <t>Caso ejecutado exitosamente</t>
  </si>
  <si>
    <t>Fallido</t>
  </si>
  <si>
    <t>Caso ejecutado con resultado no esperado</t>
  </si>
  <si>
    <t>Bloqueado</t>
  </si>
  <si>
    <t>Caso no puede ejecutarse por dependencia</t>
  </si>
  <si>
    <t>Prioridades</t>
  </si>
  <si>
    <t>Nivel</t>
  </si>
  <si>
    <t>Color</t>
  </si>
  <si>
    <t>Aplicación</t>
  </si>
  <si>
    <t>Crítico - Flujo principal</t>
  </si>
  <si>
    <t>Alto - Funcionalidad importante</t>
  </si>
  <si>
    <t>Medio - Funcionalidad secundaria</t>
  </si>
  <si>
    <t>P3</t>
  </si>
  <si>
    <t>Bajo - Nice to have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</si>
</sst>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 x14ac:knownFonts="1">
    <font>
      <sz val="10"/>
      <color rgb="FF000000"/>
      <name val="Arial"/>
      <scheme val="minor"/>
    </font>
    <font>
      <sz val="10"/>
      <color rgb="FF000000"/>
      <name val="Arial"/>
      <family val="2"/>
      <scheme val="minor"/>
    </font>
    <font>
      <sz val="11"/>
      <name val="Arial"/>
      <family val="2"/>
      <scheme val="minor"/>
    </font>
    <font>
      <u/>
      <sz val="10"/>
      <color theme="10"/>
      <name val="Arial"/>
      <family val="2"/>
      <scheme val="minor"/>
    </font>
    <font>
      <b/>
      <sz val="14"/>
      <color theme="1"/>
      <name val="Arial"/>
      <family val="2"/>
    </font>
    <font>
      <sz val="12"/>
      <color theme="1"/>
      <name val="Arial"/>
      <family val="2"/>
    </font>
    <font>
      <b/>
      <sz val="12"/>
      <color theme="1"/>
      <name val="Arial"/>
      <family val="2"/>
    </font>
    <font>
      <sz val="10"/>
      <name val="Arial"/>
      <family val="2"/>
    </font>
    <font>
      <b/>
      <sz val="16"/>
      <name val="Arial"/>
      <family val="2"/>
      <scheme val="minor"/>
    </font>
    <font>
      <b/>
      <sz val="11"/>
      <name val="Arial"/>
      <family val="2"/>
      <scheme val="minor"/>
    </font>
    <font>
      <b/>
      <sz val="12"/>
      <name val="Arial"/>
      <family val="2"/>
      <scheme val="minor"/>
    </font>
    <font>
      <b/>
      <sz val="11"/>
      <color rgb="FF000000"/>
      <name val="Arial"/>
      <family val="2"/>
      <scheme val="minor"/>
    </font>
    <font>
      <b/>
      <sz val="12"/>
      <color rgb="FF000000"/>
      <name val="Arial"/>
      <family val="2"/>
      <scheme val="minor"/>
    </font>
    <font>
      <b/>
      <sz val="13.5"/>
      <color rgb="FF000000"/>
      <name val="Arial"/>
      <family val="2"/>
      <scheme val="minor"/>
    </font>
    <font>
      <b/>
      <sz val="10"/>
      <color rgb="FF000000"/>
      <name val="Arial"/>
      <family val="2"/>
      <scheme val="minor"/>
    </font>
  </fonts>
  <fills count="18">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6"/>
        <bgColor indexed="64"/>
      </patternFill>
    </fill>
    <fill>
      <patternFill patternType="solid">
        <fgColor rgb="FFFFFF0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rgb="FF92D05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FF9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3" fillId="0" borderId="0" applyNumberFormat="0" applyFill="0" applyBorder="0" applyAlignment="0" applyProtection="0"/>
    <xf numFmtId="0" fontId="7" fillId="0" borderId="0"/>
  </cellStyleXfs>
  <cellXfs count="56">
    <xf numFmtId="0" fontId="0" fillId="0" borderId="0" xfId="0" applyFont="1" applyAlignment="1"/>
    <xf numFmtId="0" fontId="5" fillId="0" borderId="0" xfId="0" applyFont="1" applyAlignment="1">
      <alignment vertical="center" wrapText="1"/>
    </xf>
    <xf numFmtId="0" fontId="6" fillId="0" borderId="0" xfId="0" applyFont="1" applyFill="1" applyBorder="1" applyAlignment="1">
      <alignment horizontal="left" vertical="center" wrapText="1"/>
    </xf>
    <xf numFmtId="0" fontId="5" fillId="0" borderId="0" xfId="0" applyFont="1" applyAlignment="1">
      <alignment horizontal="center" vertical="center" wrapText="1"/>
    </xf>
    <xf numFmtId="0" fontId="5" fillId="0" borderId="0" xfId="0" applyFont="1" applyFill="1" applyAlignment="1">
      <alignment vertical="center" wrapText="1"/>
    </xf>
    <xf numFmtId="0" fontId="9" fillId="4" borderId="1" xfId="2" applyFont="1" applyFill="1" applyBorder="1" applyAlignment="1" applyProtection="1">
      <alignment horizontal="left" vertical="center"/>
      <protection locked="0"/>
    </xf>
    <xf numFmtId="0" fontId="2" fillId="0" borderId="1" xfId="0" applyFont="1" applyBorder="1" applyAlignment="1" applyProtection="1">
      <alignment horizontal="left" vertical="center"/>
      <protection locked="0"/>
    </xf>
    <xf numFmtId="164" fontId="10" fillId="0" borderId="1" xfId="0" applyNumberFormat="1" applyFont="1" applyFill="1" applyBorder="1" applyAlignment="1" applyProtection="1">
      <alignment horizontal="left" vertical="center"/>
      <protection locked="0"/>
    </xf>
    <xf numFmtId="1" fontId="10" fillId="0" borderId="1" xfId="0" applyNumberFormat="1" applyFont="1" applyFill="1" applyBorder="1" applyAlignment="1" applyProtection="1">
      <alignment horizontal="left" vertical="center"/>
      <protection locked="0"/>
    </xf>
    <xf numFmtId="164" fontId="11" fillId="0" borderId="1" xfId="0" applyNumberFormat="1" applyFont="1" applyFill="1" applyBorder="1" applyAlignment="1" applyProtection="1">
      <alignment horizontal="left" vertical="center"/>
      <protection locked="0"/>
    </xf>
    <xf numFmtId="14" fontId="11" fillId="0" borderId="1" xfId="0" applyNumberFormat="1" applyFont="1" applyFill="1" applyBorder="1" applyAlignment="1" applyProtection="1">
      <alignment horizontal="left" vertical="center"/>
      <protection locked="0"/>
    </xf>
    <xf numFmtId="14" fontId="2" fillId="0" borderId="1" xfId="0" applyNumberFormat="1" applyFont="1" applyBorder="1" applyAlignment="1" applyProtection="1">
      <alignment horizontal="left" vertical="center"/>
      <protection locked="0"/>
    </xf>
    <xf numFmtId="1" fontId="2" fillId="0" borderId="1" xfId="0" applyNumberFormat="1" applyFont="1" applyFill="1" applyBorder="1" applyAlignment="1" applyProtection="1">
      <alignment horizontal="left" vertical="center"/>
      <protection locked="0"/>
    </xf>
    <xf numFmtId="0" fontId="1" fillId="0" borderId="1" xfId="0" applyFont="1" applyBorder="1" applyAlignment="1">
      <alignment horizontal="left" vertical="center"/>
    </xf>
    <xf numFmtId="0" fontId="0" fillId="0" borderId="1" xfId="0" applyBorder="1" applyAlignment="1">
      <alignment horizontal="left" vertical="center"/>
    </xf>
    <xf numFmtId="0" fontId="4" fillId="0" borderId="0" xfId="0" applyFont="1" applyFill="1" applyBorder="1" applyAlignment="1">
      <alignment vertical="center" wrapText="1"/>
    </xf>
    <xf numFmtId="0" fontId="1" fillId="0" borderId="1" xfId="0" applyFont="1" applyBorder="1" applyAlignment="1">
      <alignment vertical="center"/>
    </xf>
    <xf numFmtId="0" fontId="3" fillId="0" borderId="1" xfId="1" applyBorder="1" applyAlignment="1">
      <alignment vertical="center"/>
    </xf>
    <xf numFmtId="0" fontId="0" fillId="0" borderId="1" xfId="0" applyFont="1" applyBorder="1" applyAlignment="1"/>
    <xf numFmtId="0" fontId="3" fillId="0" borderId="1" xfId="1" applyBorder="1" applyAlignment="1">
      <alignment horizontal="left" vertical="center"/>
    </xf>
    <xf numFmtId="0" fontId="0" fillId="0" borderId="1" xfId="0" applyFont="1" applyBorder="1" applyAlignment="1">
      <alignment vertical="center"/>
    </xf>
    <xf numFmtId="0" fontId="5" fillId="0" borderId="0" xfId="0" applyFont="1" applyBorder="1" applyAlignment="1">
      <alignment horizontal="left" vertical="center"/>
    </xf>
    <xf numFmtId="0" fontId="5" fillId="0" borderId="0" xfId="0" applyFont="1" applyFill="1" applyBorder="1" applyAlignment="1">
      <alignment horizontal="left" vertical="center"/>
    </xf>
    <xf numFmtId="0" fontId="0" fillId="0" borderId="0" xfId="0" applyFont="1" applyBorder="1" applyAlignment="1"/>
    <xf numFmtId="0" fontId="5" fillId="0" borderId="0" xfId="0" applyFont="1" applyBorder="1" applyAlignment="1">
      <alignment vertical="center" wrapText="1"/>
    </xf>
    <xf numFmtId="0" fontId="5" fillId="0" borderId="0" xfId="0" applyFont="1" applyBorder="1" applyAlignment="1">
      <alignment vertical="center"/>
    </xf>
    <xf numFmtId="0" fontId="13" fillId="0" borderId="0" xfId="0" applyFont="1" applyBorder="1" applyAlignment="1">
      <alignment vertical="center"/>
    </xf>
    <xf numFmtId="0" fontId="5" fillId="0" borderId="0" xfId="0" applyFont="1" applyBorder="1" applyAlignment="1">
      <alignment horizontal="center" vertical="center" wrapText="1"/>
    </xf>
    <xf numFmtId="0" fontId="12" fillId="5" borderId="1" xfId="0" applyFont="1" applyFill="1" applyBorder="1" applyAlignment="1">
      <alignment horizontal="left" vertical="center"/>
    </xf>
    <xf numFmtId="0" fontId="8" fillId="3" borderId="2" xfId="0" applyFont="1" applyFill="1" applyBorder="1" applyAlignment="1" applyProtection="1">
      <alignment horizontal="center" vertical="center"/>
      <protection locked="0"/>
    </xf>
    <xf numFmtId="0" fontId="8" fillId="3" borderId="3" xfId="0" applyFont="1" applyFill="1" applyBorder="1" applyAlignment="1" applyProtection="1">
      <alignment horizontal="center" vertical="center"/>
      <protection locked="0"/>
    </xf>
    <xf numFmtId="0" fontId="8" fillId="3" borderId="5" xfId="0" applyFont="1" applyFill="1" applyBorder="1" applyAlignment="1" applyProtection="1">
      <alignment horizontal="center" vertical="center"/>
      <protection locked="0"/>
    </xf>
    <xf numFmtId="0" fontId="8" fillId="3" borderId="6" xfId="0" applyFont="1" applyFill="1" applyBorder="1" applyAlignment="1" applyProtection="1">
      <alignment horizontal="center" vertical="center"/>
      <protection locked="0"/>
    </xf>
    <xf numFmtId="0" fontId="8" fillId="3" borderId="7" xfId="0" applyFont="1" applyFill="1" applyBorder="1" applyAlignment="1" applyProtection="1">
      <alignment horizontal="center" vertical="center"/>
      <protection locked="0"/>
    </xf>
    <xf numFmtId="0" fontId="8" fillId="3" borderId="4" xfId="0" applyFont="1" applyFill="1" applyBorder="1" applyAlignment="1" applyProtection="1">
      <alignment horizontal="center" vertical="center"/>
      <protection locked="0"/>
    </xf>
    <xf numFmtId="0" fontId="1" fillId="2" borderId="1" xfId="0" applyFont="1" applyFill="1" applyBorder="1" applyAlignment="1">
      <alignment horizontal="left" vertical="center"/>
    </xf>
    <xf numFmtId="0" fontId="0" fillId="2" borderId="1" xfId="0" applyFill="1" applyBorder="1" applyAlignment="1">
      <alignment horizontal="left" vertical="center"/>
    </xf>
    <xf numFmtId="0" fontId="0" fillId="0" borderId="0" xfId="0" applyFont="1" applyAlignment="1">
      <alignment vertical="center"/>
    </xf>
    <xf numFmtId="0" fontId="13" fillId="0" borderId="0" xfId="0" applyFont="1" applyAlignment="1">
      <alignment vertical="center"/>
    </xf>
    <xf numFmtId="0" fontId="14" fillId="0" borderId="1" xfId="0" applyFont="1" applyBorder="1" applyAlignment="1">
      <alignment horizontal="center" vertical="center" wrapText="1"/>
    </xf>
    <xf numFmtId="0" fontId="14" fillId="0" borderId="1" xfId="0" applyFont="1" applyBorder="1" applyAlignment="1">
      <alignment vertical="center"/>
    </xf>
    <xf numFmtId="0" fontId="1" fillId="6" borderId="1" xfId="0" applyFont="1" applyFill="1" applyBorder="1" applyAlignment="1">
      <alignment vertical="center"/>
    </xf>
    <xf numFmtId="0" fontId="1" fillId="7" borderId="1" xfId="0" applyFont="1" applyFill="1" applyBorder="1" applyAlignment="1">
      <alignment vertical="center"/>
    </xf>
    <xf numFmtId="0" fontId="1" fillId="8" borderId="1" xfId="0" applyFont="1" applyFill="1" applyBorder="1" applyAlignment="1">
      <alignment vertical="center"/>
    </xf>
    <xf numFmtId="0" fontId="1" fillId="12" borderId="1" xfId="0" applyFont="1" applyFill="1" applyBorder="1" applyAlignment="1">
      <alignment vertical="center"/>
    </xf>
    <xf numFmtId="0" fontId="1" fillId="13" borderId="1" xfId="0" applyFont="1" applyFill="1" applyBorder="1" applyAlignment="1">
      <alignment vertical="center"/>
    </xf>
    <xf numFmtId="0" fontId="1" fillId="14" borderId="1" xfId="0" applyFont="1" applyFill="1" applyBorder="1" applyAlignment="1">
      <alignment vertical="center"/>
    </xf>
    <xf numFmtId="0" fontId="1" fillId="11" borderId="1" xfId="0" applyFont="1" applyFill="1" applyBorder="1" applyAlignment="1">
      <alignment vertical="center"/>
    </xf>
    <xf numFmtId="0" fontId="1" fillId="15" borderId="1" xfId="0" applyFont="1" applyFill="1" applyBorder="1" applyAlignment="1">
      <alignment vertical="center"/>
    </xf>
    <xf numFmtId="0" fontId="1" fillId="16" borderId="1" xfId="0" applyFont="1" applyFill="1" applyBorder="1" applyAlignment="1">
      <alignment vertical="center"/>
    </xf>
    <xf numFmtId="0" fontId="1" fillId="9" borderId="1" xfId="0" applyFont="1" applyFill="1" applyBorder="1" applyAlignment="1">
      <alignment vertical="center"/>
    </xf>
    <xf numFmtId="0" fontId="1" fillId="10" borderId="1" xfId="0" applyFont="1" applyFill="1" applyBorder="1" applyAlignment="1">
      <alignment vertical="center"/>
    </xf>
    <xf numFmtId="0" fontId="1" fillId="16" borderId="1" xfId="0" applyFont="1" applyFill="1" applyBorder="1" applyAlignment="1">
      <alignment horizontal="left" vertical="center"/>
    </xf>
    <xf numFmtId="0" fontId="1" fillId="11" borderId="1" xfId="0" applyFont="1" applyFill="1" applyBorder="1" applyAlignment="1">
      <alignment horizontal="left" vertical="center"/>
    </xf>
    <xf numFmtId="0" fontId="1" fillId="17" borderId="1" xfId="0" applyFont="1" applyFill="1" applyBorder="1" applyAlignment="1">
      <alignment horizontal="left" vertical="center"/>
    </xf>
    <xf numFmtId="0" fontId="1" fillId="17" borderId="1" xfId="0" applyFont="1" applyFill="1" applyBorder="1" applyAlignment="1">
      <alignment vertical="center"/>
    </xf>
  </cellXfs>
  <cellStyles count="3">
    <cellStyle name="Hipervínculo" xfId="1" builtinId="8"/>
    <cellStyle name="Normal" xfId="0" builtinId="0"/>
    <cellStyle name="Normal 2" xfId="2"/>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entrauser3416/Documents/Banco%20Estado/SALESFORCE/Plan%20de%20prueba/formato/TEMPLATE%20PLAN%20DE%20PRUEBAS%20GENERICO%20V10.15%200707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eza de Software"/>
      <sheetName val="Casos de Prueba"/>
      <sheetName val="Tabla Cuadratura"/>
      <sheetName val="Tipo de Validacion"/>
      <sheetName val="Canales de Prueba"/>
      <sheetName val="Instrucciones de llenado"/>
      <sheetName val="Histórico"/>
      <sheetName val="Codigos"/>
      <sheetName val="Tabla Resultado"/>
    </sheetNames>
    <sheetDataSet>
      <sheetData sheetId="0"/>
      <sheetData sheetId="1"/>
      <sheetData sheetId="2"/>
      <sheetData sheetId="3"/>
      <sheetData sheetId="4"/>
      <sheetData sheetId="5"/>
      <sheetData sheetId="6"/>
      <sheetData sheetId="7">
        <row r="3">
          <cell r="H3" t="str">
            <v>Aprobado</v>
          </cell>
        </row>
        <row r="4">
          <cell r="H4" t="str">
            <v>Rechazado</v>
          </cell>
        </row>
        <row r="7">
          <cell r="H7" t="str">
            <v>Por Ejecutar</v>
          </cell>
        </row>
      </sheetData>
      <sheetData sheetId="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existing_user@test.com" TargetMode="External"/><Relationship Id="rId13" Type="http://schemas.openxmlformats.org/officeDocument/2006/relationships/hyperlink" Target="mailto:test_user_001@test.com" TargetMode="External"/><Relationship Id="rId18" Type="http://schemas.openxmlformats.org/officeDocument/2006/relationships/hyperlink" Target="mailto:nunca_registrado_123@test.com" TargetMode="External"/><Relationship Id="rId3" Type="http://schemas.openxmlformats.org/officeDocument/2006/relationships/hyperlink" Target="mailto:test_015@test.com" TargetMode="External"/><Relationship Id="rId21" Type="http://schemas.openxmlformats.org/officeDocument/2006/relationships/hyperlink" Target="mailto:testuser@test.com" TargetMode="External"/><Relationship Id="rId7" Type="http://schemas.openxmlformats.org/officeDocument/2006/relationships/hyperlink" Target="mailto:existing_user@test.com" TargetMode="External"/><Relationship Id="rId12" Type="http://schemas.openxmlformats.org/officeDocument/2006/relationships/hyperlink" Target="mailto:test_user_001@test.com" TargetMode="External"/><Relationship Id="rId17" Type="http://schemas.openxmlformats.org/officeDocument/2006/relationships/hyperlink" Target="mailto:testuser@prestashop.test" TargetMode="External"/><Relationship Id="rId2" Type="http://schemas.openxmlformats.org/officeDocument/2006/relationships/hyperlink" Target="https://demo.prestashop.com/" TargetMode="External"/><Relationship Id="rId16" Type="http://schemas.openxmlformats.org/officeDocument/2006/relationships/hyperlink" Target="mailto:usuario_noexiste@test.com" TargetMode="External"/><Relationship Id="rId20" Type="http://schemas.openxmlformats.org/officeDocument/2006/relationships/hyperlink" Target="mailto:testuser@prestashop.test" TargetMode="External"/><Relationship Id="rId1" Type="http://schemas.openxmlformats.org/officeDocument/2006/relationships/hyperlink" Target="https://demo.prestashop.com/" TargetMode="External"/><Relationship Id="rId6" Type="http://schemas.openxmlformats.org/officeDocument/2006/relationships/hyperlink" Target="mailto:test_user_011@test.com" TargetMode="External"/><Relationship Id="rId11" Type="http://schemas.openxmlformats.org/officeDocument/2006/relationships/hyperlink" Target="mailto:test..user@test.com" TargetMode="External"/><Relationship Id="rId24" Type="http://schemas.openxmlformats.org/officeDocument/2006/relationships/printerSettings" Target="../printerSettings/printerSettings1.bin"/><Relationship Id="rId5" Type="http://schemas.openxmlformats.org/officeDocument/2006/relationships/hyperlink" Target="mailto:test_013@test.com" TargetMode="External"/><Relationship Id="rId15" Type="http://schemas.openxmlformats.org/officeDocument/2006/relationships/hyperlink" Target="https://demo.prestashop.com/" TargetMode="External"/><Relationship Id="rId23" Type="http://schemas.openxmlformats.org/officeDocument/2006/relationships/hyperlink" Target="https://demo.prestashop.com/" TargetMode="External"/><Relationship Id="rId10" Type="http://schemas.openxmlformats.org/officeDocument/2006/relationships/hyperlink" Target="mailto:test_user_007@test.com" TargetMode="External"/><Relationship Id="rId19" Type="http://schemas.openxmlformats.org/officeDocument/2006/relationships/hyperlink" Target="mailto:test@test.com" TargetMode="External"/><Relationship Id="rId4" Type="http://schemas.openxmlformats.org/officeDocument/2006/relationships/hyperlink" Target="mailto:muy_largo_email_test_usuario_con_mas_de_100_caracteres@dominioextremadamentelargo.com" TargetMode="External"/><Relationship Id="rId9" Type="http://schemas.openxmlformats.org/officeDocument/2006/relationships/hyperlink" Target="mailto:test_user_008@test.com" TargetMode="External"/><Relationship Id="rId14" Type="http://schemas.openxmlformats.org/officeDocument/2006/relationships/hyperlink" Target="mailto:testuser@prestashop.test" TargetMode="External"/><Relationship Id="rId22" Type="http://schemas.openxmlformats.org/officeDocument/2006/relationships/hyperlink" Target="mailto:TESTUSER@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58"/>
  <sheetViews>
    <sheetView tabSelected="1" topLeftCell="J1" zoomScale="85" zoomScaleNormal="85" workbookViewId="0">
      <selection activeCell="T21" sqref="T21"/>
    </sheetView>
  </sheetViews>
  <sheetFormatPr baseColWidth="10" defaultRowHeight="15" x14ac:dyDescent="0.2"/>
  <cols>
    <col min="1" max="1" width="37.5703125" style="1" customWidth="1"/>
    <col min="2" max="2" width="22.85546875" style="3" customWidth="1"/>
    <col min="3" max="3" width="45.140625" style="1" customWidth="1"/>
    <col min="4" max="4" width="42.7109375" style="1" customWidth="1"/>
    <col min="5" max="5" width="60" style="1" customWidth="1"/>
    <col min="6" max="6" width="28.28515625" style="1" customWidth="1"/>
    <col min="7" max="7" width="60" style="1" customWidth="1"/>
    <col min="8" max="8" width="17.5703125" style="1" customWidth="1"/>
    <col min="9" max="9" width="33.5703125" style="1" customWidth="1"/>
    <col min="10" max="10" width="23.28515625" style="1" customWidth="1"/>
    <col min="11" max="11" width="11.42578125" style="1"/>
    <col min="12" max="12" width="16.5703125" style="1" customWidth="1"/>
    <col min="13" max="13" width="18.7109375" style="1" customWidth="1"/>
    <col min="14" max="14" width="18.140625" style="1" customWidth="1"/>
    <col min="15" max="15" width="22.28515625" style="1" customWidth="1"/>
    <col min="16" max="16" width="23.85546875" style="1" customWidth="1"/>
    <col min="17" max="17" width="23.7109375" style="1" customWidth="1"/>
    <col min="18" max="16384" width="11.42578125" style="1"/>
  </cols>
  <sheetData>
    <row r="1" spans="1:17" ht="20.25" x14ac:dyDescent="0.2">
      <c r="A1" s="29" t="s">
        <v>8</v>
      </c>
      <c r="B1" s="30"/>
      <c r="C1" s="30"/>
      <c r="D1" s="30"/>
      <c r="E1" s="31" t="s">
        <v>9</v>
      </c>
      <c r="F1" s="32"/>
      <c r="G1" s="33"/>
      <c r="H1" s="34" t="s">
        <v>10</v>
      </c>
      <c r="I1" s="34"/>
    </row>
    <row r="2" spans="1:17" ht="18" customHeight="1" x14ac:dyDescent="0.2">
      <c r="A2" s="5" t="s">
        <v>11</v>
      </c>
      <c r="B2" s="13" t="s">
        <v>28</v>
      </c>
      <c r="C2" s="5" t="s">
        <v>12</v>
      </c>
      <c r="D2" s="6" t="s">
        <v>29</v>
      </c>
      <c r="E2" s="5" t="str">
        <f>Aprobado</f>
        <v>Aprobado</v>
      </c>
      <c r="F2" s="7">
        <f>G2/G6</f>
        <v>0</v>
      </c>
      <c r="G2" s="8">
        <f>COUNTIF(M9:M1968, Aprobado)</f>
        <v>0</v>
      </c>
      <c r="H2" s="5" t="s">
        <v>13</v>
      </c>
      <c r="I2" s="7"/>
    </row>
    <row r="3" spans="1:17" ht="15.75" x14ac:dyDescent="0.2">
      <c r="A3" s="5" t="s">
        <v>15</v>
      </c>
      <c r="B3" s="13" t="s">
        <v>16</v>
      </c>
      <c r="C3" s="5" t="s">
        <v>17</v>
      </c>
      <c r="D3" s="6" t="s">
        <v>18</v>
      </c>
      <c r="E3" s="5" t="str">
        <f>Rechazado</f>
        <v>Rechazado</v>
      </c>
      <c r="F3" s="9">
        <f>G3/G6</f>
        <v>0</v>
      </c>
      <c r="G3" s="8">
        <f>COUNTIF(M9:M1969, Rechazado)</f>
        <v>0</v>
      </c>
      <c r="H3" s="5" t="s">
        <v>19</v>
      </c>
      <c r="I3" s="9"/>
    </row>
    <row r="4" spans="1:17" ht="27.75" customHeight="1" x14ac:dyDescent="0.2">
      <c r="A4" s="5" t="s">
        <v>20</v>
      </c>
      <c r="B4" s="14" t="s">
        <v>33</v>
      </c>
      <c r="C4" s="5" t="s">
        <v>21</v>
      </c>
      <c r="D4" s="13" t="s">
        <v>30</v>
      </c>
      <c r="E4" s="5" t="s">
        <v>6</v>
      </c>
      <c r="F4" s="9">
        <f>G4/G6</f>
        <v>0</v>
      </c>
      <c r="G4" s="8">
        <f>COUNTIF(M9:M1970, No Aplica)</f>
        <v>0</v>
      </c>
      <c r="H4" s="5" t="s">
        <v>22</v>
      </c>
      <c r="I4" s="10"/>
    </row>
    <row r="5" spans="1:17" ht="27.75" customHeight="1" x14ac:dyDescent="0.2">
      <c r="A5" s="5" t="s">
        <v>23</v>
      </c>
      <c r="B5" s="13" t="s">
        <v>14</v>
      </c>
      <c r="C5" s="5" t="s">
        <v>24</v>
      </c>
      <c r="D5" s="11">
        <v>45537</v>
      </c>
      <c r="E5" s="5" t="str">
        <f>Por_Ejecutar</f>
        <v>Por Ejecutar</v>
      </c>
      <c r="F5" s="9">
        <f>G5/G6</f>
        <v>0</v>
      </c>
      <c r="G5" s="8">
        <f>COUNTIF(M9:M1971, Por ejecutar)</f>
        <v>0</v>
      </c>
      <c r="H5" s="5" t="s">
        <v>25</v>
      </c>
      <c r="I5" s="10"/>
    </row>
    <row r="6" spans="1:17" ht="27.75" customHeight="1" x14ac:dyDescent="0.2">
      <c r="A6" s="5" t="s">
        <v>19</v>
      </c>
      <c r="B6" s="13" t="s">
        <v>31</v>
      </c>
      <c r="C6" s="5" t="s">
        <v>26</v>
      </c>
      <c r="D6" s="11">
        <v>45541</v>
      </c>
      <c r="E6" s="5" t="s">
        <v>7</v>
      </c>
      <c r="F6" s="9">
        <f>G6/G6</f>
        <v>1</v>
      </c>
      <c r="G6" s="12">
        <f>COUNTA(C9:C1968)</f>
        <v>105</v>
      </c>
      <c r="H6" s="5"/>
      <c r="I6" s="9"/>
    </row>
    <row r="7" spans="1:17" ht="27.75" customHeight="1" x14ac:dyDescent="0.2">
      <c r="A7" s="5" t="s">
        <v>27</v>
      </c>
      <c r="B7" s="35" t="s">
        <v>32</v>
      </c>
      <c r="C7" s="36"/>
      <c r="D7" s="36"/>
      <c r="E7" s="36"/>
      <c r="F7" s="36"/>
      <c r="G7" s="36"/>
      <c r="H7" s="36"/>
      <c r="I7" s="36"/>
    </row>
    <row r="8" spans="1:17" s="4" customFormat="1" ht="27.75" customHeight="1" x14ac:dyDescent="0.2">
      <c r="A8" s="2"/>
      <c r="B8" s="2"/>
      <c r="C8" s="2"/>
      <c r="D8" s="2"/>
    </row>
    <row r="9" spans="1:17" ht="33" customHeight="1" x14ac:dyDescent="0.2">
      <c r="H9" s="15"/>
      <c r="I9" s="15"/>
    </row>
    <row r="10" spans="1:17" s="22" customFormat="1" ht="15.75" x14ac:dyDescent="0.2">
      <c r="A10" s="28" t="s">
        <v>1</v>
      </c>
      <c r="B10" s="28" t="s">
        <v>0</v>
      </c>
      <c r="C10" s="28" t="s">
        <v>34</v>
      </c>
      <c r="D10" s="28" t="s">
        <v>35</v>
      </c>
      <c r="E10" s="28" t="s">
        <v>36</v>
      </c>
      <c r="F10" s="28" t="s">
        <v>37</v>
      </c>
      <c r="G10" s="28" t="s">
        <v>2</v>
      </c>
      <c r="H10" s="28" t="s">
        <v>3</v>
      </c>
      <c r="I10" s="28" t="s">
        <v>38</v>
      </c>
      <c r="J10" s="28" t="s">
        <v>39</v>
      </c>
      <c r="K10" s="28" t="s">
        <v>40</v>
      </c>
      <c r="L10" s="28" t="s">
        <v>5</v>
      </c>
      <c r="M10" s="28" t="s">
        <v>41</v>
      </c>
      <c r="N10" s="28" t="s">
        <v>42</v>
      </c>
      <c r="O10" s="28" t="s">
        <v>43</v>
      </c>
      <c r="P10" s="28" t="s">
        <v>44</v>
      </c>
      <c r="Q10" s="28" t="s">
        <v>45</v>
      </c>
    </row>
    <row r="11" spans="1:17" s="21" customFormat="1" x14ac:dyDescent="0.2">
      <c r="A11" s="13" t="s">
        <v>46</v>
      </c>
      <c r="B11" s="13" t="s">
        <v>47</v>
      </c>
      <c r="C11" s="13" t="s">
        <v>48</v>
      </c>
      <c r="D11" s="52" t="s">
        <v>49</v>
      </c>
      <c r="E11" s="13" t="s">
        <v>50</v>
      </c>
      <c r="F11" s="13" t="s">
        <v>51</v>
      </c>
      <c r="G11" s="13" t="s">
        <v>52</v>
      </c>
      <c r="H11" s="13" t="s">
        <v>147</v>
      </c>
      <c r="I11" s="19" t="s">
        <v>146</v>
      </c>
      <c r="J11" s="19" t="s">
        <v>148</v>
      </c>
      <c r="K11" s="13" t="s">
        <v>149</v>
      </c>
      <c r="L11" s="13" t="s">
        <v>53</v>
      </c>
      <c r="M11" s="13"/>
      <c r="N11" s="13"/>
      <c r="O11" s="13"/>
      <c r="P11" s="13"/>
      <c r="Q11" s="13"/>
    </row>
    <row r="12" spans="1:17" s="21" customFormat="1" x14ac:dyDescent="0.2">
      <c r="A12" s="13" t="s">
        <v>54</v>
      </c>
      <c r="B12" s="13" t="s">
        <v>55</v>
      </c>
      <c r="C12" s="13" t="s">
        <v>48</v>
      </c>
      <c r="D12" s="52" t="s">
        <v>49</v>
      </c>
      <c r="E12" s="13" t="s">
        <v>50</v>
      </c>
      <c r="F12" s="13" t="s">
        <v>51</v>
      </c>
      <c r="G12" s="13" t="s">
        <v>56</v>
      </c>
      <c r="H12" s="13" t="s">
        <v>150</v>
      </c>
      <c r="I12" s="19" t="s">
        <v>151</v>
      </c>
      <c r="J12" s="13" t="s">
        <v>152</v>
      </c>
      <c r="K12" s="13" t="s">
        <v>153</v>
      </c>
      <c r="L12" s="13" t="s">
        <v>53</v>
      </c>
      <c r="M12" s="13"/>
      <c r="N12" s="13"/>
      <c r="O12" s="13"/>
      <c r="P12" s="13"/>
      <c r="Q12" s="13"/>
    </row>
    <row r="13" spans="1:17" s="21" customFormat="1" x14ac:dyDescent="0.2">
      <c r="A13" s="13" t="s">
        <v>57</v>
      </c>
      <c r="B13" s="13" t="s">
        <v>58</v>
      </c>
      <c r="C13" s="13" t="s">
        <v>48</v>
      </c>
      <c r="D13" s="52" t="s">
        <v>49</v>
      </c>
      <c r="E13" s="13" t="s">
        <v>50</v>
      </c>
      <c r="F13" s="13" t="s">
        <v>59</v>
      </c>
      <c r="G13" s="13" t="s">
        <v>60</v>
      </c>
      <c r="H13" s="13" t="s">
        <v>154</v>
      </c>
      <c r="I13" s="13" t="s">
        <v>61</v>
      </c>
      <c r="J13" s="19" t="s">
        <v>155</v>
      </c>
      <c r="K13" s="13" t="s">
        <v>156</v>
      </c>
      <c r="L13" s="13" t="s">
        <v>53</v>
      </c>
      <c r="M13" s="13"/>
      <c r="N13" s="13"/>
      <c r="O13" s="13"/>
      <c r="P13" s="13"/>
      <c r="Q13" s="13"/>
    </row>
    <row r="14" spans="1:17" s="21" customFormat="1" x14ac:dyDescent="0.2">
      <c r="A14" s="13" t="s">
        <v>62</v>
      </c>
      <c r="B14" s="13" t="s">
        <v>63</v>
      </c>
      <c r="C14" s="13" t="s">
        <v>48</v>
      </c>
      <c r="D14" s="52" t="s">
        <v>49</v>
      </c>
      <c r="E14" s="13" t="s">
        <v>64</v>
      </c>
      <c r="F14" s="13" t="s">
        <v>65</v>
      </c>
      <c r="G14" s="13" t="s">
        <v>66</v>
      </c>
      <c r="H14" s="13" t="s">
        <v>157</v>
      </c>
      <c r="I14" s="13" t="s">
        <v>158</v>
      </c>
      <c r="J14" s="13" t="s">
        <v>159</v>
      </c>
      <c r="K14" s="13" t="s">
        <v>160</v>
      </c>
      <c r="L14" s="13" t="s">
        <v>53</v>
      </c>
      <c r="M14" s="13"/>
      <c r="N14" s="13"/>
      <c r="O14" s="13"/>
      <c r="P14" s="13"/>
      <c r="Q14" s="13"/>
    </row>
    <row r="15" spans="1:17" s="21" customFormat="1" x14ac:dyDescent="0.2">
      <c r="A15" s="13" t="s">
        <v>67</v>
      </c>
      <c r="B15" s="13" t="s">
        <v>68</v>
      </c>
      <c r="C15" s="13" t="s">
        <v>48</v>
      </c>
      <c r="D15" s="52" t="s">
        <v>49</v>
      </c>
      <c r="E15" s="13" t="s">
        <v>64</v>
      </c>
      <c r="F15" s="13" t="s">
        <v>65</v>
      </c>
      <c r="G15" s="13" t="s">
        <v>69</v>
      </c>
      <c r="H15" s="13" t="s">
        <v>157</v>
      </c>
      <c r="I15" s="13" t="s">
        <v>161</v>
      </c>
      <c r="J15" s="13" t="s">
        <v>162</v>
      </c>
      <c r="K15" s="13" t="s">
        <v>163</v>
      </c>
      <c r="L15" s="13" t="s">
        <v>53</v>
      </c>
      <c r="M15" s="13"/>
      <c r="N15" s="13"/>
      <c r="O15" s="13"/>
      <c r="P15" s="13"/>
      <c r="Q15" s="13"/>
    </row>
    <row r="16" spans="1:17" s="21" customFormat="1" ht="17.25" customHeight="1" x14ac:dyDescent="0.2">
      <c r="A16" s="13" t="s">
        <v>70</v>
      </c>
      <c r="B16" s="13" t="s">
        <v>71</v>
      </c>
      <c r="C16" s="13" t="s">
        <v>48</v>
      </c>
      <c r="D16" s="52" t="s">
        <v>49</v>
      </c>
      <c r="E16" s="13" t="s">
        <v>64</v>
      </c>
      <c r="F16" s="13" t="s">
        <v>65</v>
      </c>
      <c r="G16" s="13" t="s">
        <v>72</v>
      </c>
      <c r="H16" s="13" t="s">
        <v>157</v>
      </c>
      <c r="I16" s="19" t="s">
        <v>164</v>
      </c>
      <c r="J16" s="13" t="s">
        <v>165</v>
      </c>
      <c r="K16" s="13" t="s">
        <v>166</v>
      </c>
      <c r="L16" s="13" t="s">
        <v>53</v>
      </c>
      <c r="M16" s="13"/>
      <c r="N16" s="13"/>
      <c r="O16" s="13"/>
      <c r="P16" s="19"/>
      <c r="Q16" s="13"/>
    </row>
    <row r="17" spans="1:17" s="21" customFormat="1" x14ac:dyDescent="0.2">
      <c r="A17" s="13" t="s">
        <v>73</v>
      </c>
      <c r="B17" s="13" t="s">
        <v>74</v>
      </c>
      <c r="C17" s="13" t="s">
        <v>48</v>
      </c>
      <c r="D17" s="53" t="s">
        <v>75</v>
      </c>
      <c r="E17" s="13" t="s">
        <v>64</v>
      </c>
      <c r="F17" s="13" t="s">
        <v>76</v>
      </c>
      <c r="G17" s="13" t="s">
        <v>77</v>
      </c>
      <c r="H17" s="13" t="s">
        <v>157</v>
      </c>
      <c r="I17" s="19" t="s">
        <v>167</v>
      </c>
      <c r="J17" s="13" t="s">
        <v>168</v>
      </c>
      <c r="K17" s="13" t="s">
        <v>169</v>
      </c>
      <c r="L17" s="13" t="s">
        <v>53</v>
      </c>
      <c r="M17" s="13"/>
      <c r="N17" s="13"/>
      <c r="O17" s="13"/>
      <c r="P17" s="13"/>
      <c r="Q17" s="13"/>
    </row>
    <row r="18" spans="1:17" s="21" customFormat="1" x14ac:dyDescent="0.2">
      <c r="A18" s="13" t="s">
        <v>78</v>
      </c>
      <c r="B18" s="13" t="s">
        <v>79</v>
      </c>
      <c r="C18" s="13" t="s">
        <v>48</v>
      </c>
      <c r="D18" s="53" t="s">
        <v>75</v>
      </c>
      <c r="E18" s="13" t="s">
        <v>50</v>
      </c>
      <c r="F18" s="13" t="s">
        <v>76</v>
      </c>
      <c r="G18" s="13" t="s">
        <v>80</v>
      </c>
      <c r="H18" s="13" t="s">
        <v>157</v>
      </c>
      <c r="I18" s="19" t="s">
        <v>170</v>
      </c>
      <c r="J18" s="13" t="s">
        <v>171</v>
      </c>
      <c r="K18" s="13" t="s">
        <v>172</v>
      </c>
      <c r="L18" s="13" t="s">
        <v>53</v>
      </c>
      <c r="M18" s="13"/>
      <c r="N18" s="13"/>
      <c r="O18" s="13"/>
      <c r="P18" s="13"/>
      <c r="Q18" s="13"/>
    </row>
    <row r="19" spans="1:17" s="21" customFormat="1" x14ac:dyDescent="0.2">
      <c r="A19" s="13" t="s">
        <v>81</v>
      </c>
      <c r="B19" s="13" t="s">
        <v>82</v>
      </c>
      <c r="C19" s="13" t="s">
        <v>48</v>
      </c>
      <c r="D19" s="52" t="s">
        <v>49</v>
      </c>
      <c r="E19" s="13" t="s">
        <v>64</v>
      </c>
      <c r="F19" s="13" t="s">
        <v>83</v>
      </c>
      <c r="G19" s="13" t="s">
        <v>84</v>
      </c>
      <c r="H19" s="13" t="s">
        <v>173</v>
      </c>
      <c r="I19" s="19" t="s">
        <v>174</v>
      </c>
      <c r="J19" s="13" t="s">
        <v>175</v>
      </c>
      <c r="K19" s="13" t="s">
        <v>176</v>
      </c>
      <c r="L19" s="13" t="s">
        <v>53</v>
      </c>
      <c r="M19" s="13"/>
      <c r="N19" s="13"/>
      <c r="O19" s="13"/>
      <c r="P19" s="13"/>
      <c r="Q19" s="13"/>
    </row>
    <row r="20" spans="1:17" s="21" customFormat="1" x14ac:dyDescent="0.2">
      <c r="A20" s="13" t="s">
        <v>85</v>
      </c>
      <c r="B20" s="13" t="s">
        <v>86</v>
      </c>
      <c r="C20" s="13" t="s">
        <v>48</v>
      </c>
      <c r="D20" s="53" t="s">
        <v>75</v>
      </c>
      <c r="E20" s="13" t="s">
        <v>64</v>
      </c>
      <c r="F20" s="13" t="s">
        <v>87</v>
      </c>
      <c r="G20" s="13" t="s">
        <v>88</v>
      </c>
      <c r="H20" s="13" t="s">
        <v>177</v>
      </c>
      <c r="I20" s="19" t="s">
        <v>178</v>
      </c>
      <c r="J20" s="13" t="s">
        <v>179</v>
      </c>
      <c r="K20" s="13" t="s">
        <v>180</v>
      </c>
      <c r="L20" s="13" t="s">
        <v>53</v>
      </c>
      <c r="M20" s="13"/>
      <c r="N20" s="13"/>
      <c r="O20" s="13"/>
      <c r="P20" s="13"/>
      <c r="Q20" s="13"/>
    </row>
    <row r="21" spans="1:17" s="21" customFormat="1" ht="16.5" customHeight="1" x14ac:dyDescent="0.2">
      <c r="A21" s="13" t="s">
        <v>89</v>
      </c>
      <c r="B21" s="13" t="s">
        <v>90</v>
      </c>
      <c r="C21" s="13" t="s">
        <v>48</v>
      </c>
      <c r="D21" s="53" t="s">
        <v>75</v>
      </c>
      <c r="E21" s="13" t="s">
        <v>50</v>
      </c>
      <c r="F21" s="13" t="s">
        <v>91</v>
      </c>
      <c r="G21" s="13" t="s">
        <v>92</v>
      </c>
      <c r="H21" s="13" t="s">
        <v>181</v>
      </c>
      <c r="I21" s="19" t="s">
        <v>182</v>
      </c>
      <c r="J21" s="13" t="s">
        <v>183</v>
      </c>
      <c r="K21" s="13" t="s">
        <v>184</v>
      </c>
      <c r="L21" s="13" t="s">
        <v>53</v>
      </c>
      <c r="M21" s="13"/>
      <c r="N21" s="13"/>
      <c r="O21" s="13"/>
      <c r="P21" s="13"/>
      <c r="Q21" s="13"/>
    </row>
    <row r="22" spans="1:17" s="21" customFormat="1" x14ac:dyDescent="0.2">
      <c r="A22" s="13" t="s">
        <v>93</v>
      </c>
      <c r="B22" s="13" t="s">
        <v>94</v>
      </c>
      <c r="C22" s="13" t="s">
        <v>48</v>
      </c>
      <c r="D22" s="53" t="s">
        <v>75</v>
      </c>
      <c r="E22" s="13" t="s">
        <v>64</v>
      </c>
      <c r="F22" s="13" t="s">
        <v>61</v>
      </c>
      <c r="G22" s="13" t="s">
        <v>95</v>
      </c>
      <c r="H22" s="13" t="s">
        <v>96</v>
      </c>
      <c r="I22" s="13" t="s">
        <v>97</v>
      </c>
      <c r="J22" s="13" t="s">
        <v>185</v>
      </c>
      <c r="K22" s="13" t="s">
        <v>186</v>
      </c>
      <c r="L22" s="13" t="s">
        <v>53</v>
      </c>
      <c r="M22" s="13"/>
      <c r="N22" s="13"/>
      <c r="O22" s="13"/>
      <c r="P22" s="13"/>
      <c r="Q22" s="13"/>
    </row>
    <row r="23" spans="1:17" s="21" customFormat="1" x14ac:dyDescent="0.2">
      <c r="A23" s="13" t="s">
        <v>98</v>
      </c>
      <c r="B23" s="13" t="s">
        <v>99</v>
      </c>
      <c r="C23" s="13" t="s">
        <v>48</v>
      </c>
      <c r="D23" s="54" t="s">
        <v>100</v>
      </c>
      <c r="E23" s="13" t="s">
        <v>64</v>
      </c>
      <c r="F23" s="13" t="s">
        <v>61</v>
      </c>
      <c r="G23" s="13" t="s">
        <v>101</v>
      </c>
      <c r="H23" s="13" t="s">
        <v>102</v>
      </c>
      <c r="I23" s="19" t="s">
        <v>187</v>
      </c>
      <c r="J23" s="13" t="s">
        <v>188</v>
      </c>
      <c r="K23" s="13" t="s">
        <v>189</v>
      </c>
      <c r="L23" s="13" t="s">
        <v>53</v>
      </c>
      <c r="M23" s="13"/>
      <c r="N23" s="13"/>
      <c r="O23" s="13"/>
      <c r="P23" s="13"/>
      <c r="Q23" s="13"/>
    </row>
    <row r="24" spans="1:17" s="21" customFormat="1" x14ac:dyDescent="0.2">
      <c r="A24" s="13" t="s">
        <v>103</v>
      </c>
      <c r="B24" s="13" t="s">
        <v>104</v>
      </c>
      <c r="C24" s="13" t="s">
        <v>48</v>
      </c>
      <c r="D24" s="54" t="s">
        <v>100</v>
      </c>
      <c r="E24" s="13" t="s">
        <v>64</v>
      </c>
      <c r="F24" s="13" t="s">
        <v>61</v>
      </c>
      <c r="G24" s="13" t="s">
        <v>105</v>
      </c>
      <c r="H24" s="13" t="s">
        <v>102</v>
      </c>
      <c r="I24" s="19" t="s">
        <v>190</v>
      </c>
      <c r="J24" s="13" t="s">
        <v>191</v>
      </c>
      <c r="K24" s="13" t="s">
        <v>192</v>
      </c>
      <c r="L24" s="13" t="s">
        <v>53</v>
      </c>
      <c r="M24" s="13"/>
      <c r="N24" s="13"/>
      <c r="O24" s="13"/>
      <c r="P24" s="13"/>
      <c r="Q24" s="13"/>
    </row>
    <row r="25" spans="1:17" s="22" customFormat="1" x14ac:dyDescent="0.2">
      <c r="A25" s="13" t="s">
        <v>106</v>
      </c>
      <c r="B25" s="13" t="s">
        <v>107</v>
      </c>
      <c r="C25" s="13" t="s">
        <v>48</v>
      </c>
      <c r="D25" s="54" t="s">
        <v>100</v>
      </c>
      <c r="E25" s="13" t="s">
        <v>50</v>
      </c>
      <c r="F25" s="13" t="s">
        <v>61</v>
      </c>
      <c r="G25" s="13" t="s">
        <v>108</v>
      </c>
      <c r="H25" s="13" t="s">
        <v>193</v>
      </c>
      <c r="I25" s="19" t="s">
        <v>194</v>
      </c>
      <c r="J25" s="13" t="s">
        <v>195</v>
      </c>
      <c r="K25" s="13" t="s">
        <v>196</v>
      </c>
      <c r="L25" s="13" t="s">
        <v>53</v>
      </c>
      <c r="M25" s="13"/>
      <c r="N25" s="13"/>
      <c r="O25" s="13"/>
      <c r="P25" s="13"/>
      <c r="Q25" s="13"/>
    </row>
    <row r="26" spans="1:17" s="21" customFormat="1" x14ac:dyDescent="0.2">
      <c r="A26" s="16" t="s">
        <v>109</v>
      </c>
      <c r="B26" s="16" t="s">
        <v>110</v>
      </c>
      <c r="C26" s="16" t="s">
        <v>48</v>
      </c>
      <c r="D26" s="49" t="s">
        <v>49</v>
      </c>
      <c r="E26" s="16" t="s">
        <v>50</v>
      </c>
      <c r="F26" s="16" t="s">
        <v>111</v>
      </c>
      <c r="G26" s="16" t="s">
        <v>112</v>
      </c>
      <c r="H26" s="16" t="s">
        <v>215</v>
      </c>
      <c r="I26" s="17" t="s">
        <v>216</v>
      </c>
      <c r="J26" s="17" t="s">
        <v>217</v>
      </c>
      <c r="K26" s="16" t="s">
        <v>218</v>
      </c>
      <c r="L26" s="16" t="s">
        <v>53</v>
      </c>
      <c r="M26" s="16"/>
      <c r="N26" s="16"/>
      <c r="O26" s="16"/>
      <c r="P26" s="16"/>
      <c r="Q26" s="16"/>
    </row>
    <row r="27" spans="1:17" s="21" customFormat="1" x14ac:dyDescent="0.2">
      <c r="A27" s="16" t="s">
        <v>113</v>
      </c>
      <c r="B27" s="16" t="s">
        <v>114</v>
      </c>
      <c r="C27" s="16" t="s">
        <v>48</v>
      </c>
      <c r="D27" s="49" t="s">
        <v>49</v>
      </c>
      <c r="E27" s="16" t="s">
        <v>64</v>
      </c>
      <c r="F27" s="16" t="s">
        <v>115</v>
      </c>
      <c r="G27" s="16" t="s">
        <v>116</v>
      </c>
      <c r="H27" s="16" t="s">
        <v>219</v>
      </c>
      <c r="I27" s="17" t="s">
        <v>220</v>
      </c>
      <c r="J27" s="16" t="s">
        <v>221</v>
      </c>
      <c r="K27" s="16" t="s">
        <v>222</v>
      </c>
      <c r="L27" s="16" t="s">
        <v>53</v>
      </c>
      <c r="M27" s="16"/>
      <c r="N27" s="16"/>
      <c r="O27" s="16"/>
      <c r="P27" s="16"/>
      <c r="Q27" s="16"/>
    </row>
    <row r="28" spans="1:17" s="21" customFormat="1" x14ac:dyDescent="0.2">
      <c r="A28" s="16" t="s">
        <v>117</v>
      </c>
      <c r="B28" s="16" t="s">
        <v>118</v>
      </c>
      <c r="C28" s="16" t="s">
        <v>48</v>
      </c>
      <c r="D28" s="49" t="s">
        <v>49</v>
      </c>
      <c r="E28" s="16" t="s">
        <v>64</v>
      </c>
      <c r="F28" s="16" t="s">
        <v>115</v>
      </c>
      <c r="G28" s="16" t="s">
        <v>119</v>
      </c>
      <c r="H28" s="16" t="s">
        <v>223</v>
      </c>
      <c r="I28" s="17" t="s">
        <v>224</v>
      </c>
      <c r="J28" s="16" t="s">
        <v>225</v>
      </c>
      <c r="K28" s="16" t="s">
        <v>226</v>
      </c>
      <c r="L28" s="16" t="s">
        <v>53</v>
      </c>
      <c r="M28" s="16"/>
      <c r="N28" s="16"/>
      <c r="O28" s="16"/>
      <c r="P28" s="16"/>
      <c r="Q28" s="16"/>
    </row>
    <row r="29" spans="1:17" s="21" customFormat="1" x14ac:dyDescent="0.2">
      <c r="A29" s="16" t="s">
        <v>120</v>
      </c>
      <c r="B29" s="16" t="s">
        <v>121</v>
      </c>
      <c r="C29" s="16" t="s">
        <v>48</v>
      </c>
      <c r="D29" s="49" t="s">
        <v>49</v>
      </c>
      <c r="E29" s="16" t="s">
        <v>64</v>
      </c>
      <c r="F29" s="16" t="s">
        <v>115</v>
      </c>
      <c r="G29" s="16" t="s">
        <v>122</v>
      </c>
      <c r="H29" s="16" t="s">
        <v>227</v>
      </c>
      <c r="I29" s="17" t="s">
        <v>228</v>
      </c>
      <c r="J29" s="16" t="s">
        <v>229</v>
      </c>
      <c r="K29" s="16" t="s">
        <v>230</v>
      </c>
      <c r="L29" s="16" t="s">
        <v>53</v>
      </c>
      <c r="M29" s="16"/>
      <c r="N29" s="16"/>
      <c r="O29" s="16"/>
      <c r="P29" s="16"/>
      <c r="Q29" s="16"/>
    </row>
    <row r="30" spans="1:17" s="21" customFormat="1" x14ac:dyDescent="0.2">
      <c r="A30" s="16" t="s">
        <v>123</v>
      </c>
      <c r="B30" s="16" t="s">
        <v>124</v>
      </c>
      <c r="C30" s="16" t="s">
        <v>48</v>
      </c>
      <c r="D30" s="49" t="s">
        <v>49</v>
      </c>
      <c r="E30" s="16" t="s">
        <v>64</v>
      </c>
      <c r="F30" s="16" t="s">
        <v>125</v>
      </c>
      <c r="G30" s="16" t="s">
        <v>126</v>
      </c>
      <c r="H30" s="16" t="s">
        <v>231</v>
      </c>
      <c r="I30" s="17" t="s">
        <v>232</v>
      </c>
      <c r="J30" s="16" t="s">
        <v>233</v>
      </c>
      <c r="K30" s="16" t="s">
        <v>234</v>
      </c>
      <c r="L30" s="16" t="s">
        <v>53</v>
      </c>
      <c r="M30" s="16"/>
      <c r="N30" s="16"/>
      <c r="O30" s="16"/>
      <c r="P30" s="16"/>
      <c r="Q30" s="16"/>
    </row>
    <row r="31" spans="1:17" s="21" customFormat="1" ht="17.25" customHeight="1" x14ac:dyDescent="0.2">
      <c r="A31" s="16" t="s">
        <v>127</v>
      </c>
      <c r="B31" s="16" t="s">
        <v>128</v>
      </c>
      <c r="C31" s="16" t="s">
        <v>48</v>
      </c>
      <c r="D31" s="47" t="s">
        <v>75</v>
      </c>
      <c r="E31" s="16" t="s">
        <v>50</v>
      </c>
      <c r="F31" s="16" t="s">
        <v>129</v>
      </c>
      <c r="G31" s="16" t="s">
        <v>130</v>
      </c>
      <c r="H31" s="16" t="s">
        <v>235</v>
      </c>
      <c r="I31" s="17" t="s">
        <v>216</v>
      </c>
      <c r="J31" s="16" t="s">
        <v>236</v>
      </c>
      <c r="K31" s="16" t="s">
        <v>237</v>
      </c>
      <c r="L31" s="16" t="s">
        <v>53</v>
      </c>
      <c r="M31" s="16"/>
      <c r="N31" s="16"/>
      <c r="O31" s="16"/>
      <c r="P31" s="16"/>
      <c r="Q31" s="16"/>
    </row>
    <row r="32" spans="1:17" s="21" customFormat="1" x14ac:dyDescent="0.2">
      <c r="A32" s="16" t="s">
        <v>131</v>
      </c>
      <c r="B32" s="16" t="s">
        <v>132</v>
      </c>
      <c r="C32" s="16" t="s">
        <v>48</v>
      </c>
      <c r="D32" s="49" t="s">
        <v>49</v>
      </c>
      <c r="E32" s="16" t="s">
        <v>50</v>
      </c>
      <c r="F32" s="16" t="s">
        <v>133</v>
      </c>
      <c r="G32" s="16" t="s">
        <v>134</v>
      </c>
      <c r="H32" s="16" t="s">
        <v>238</v>
      </c>
      <c r="I32" s="16" t="s">
        <v>61</v>
      </c>
      <c r="J32" s="16" t="s">
        <v>239</v>
      </c>
      <c r="K32" s="16" t="s">
        <v>240</v>
      </c>
      <c r="L32" s="16" t="s">
        <v>53</v>
      </c>
      <c r="M32" s="16"/>
      <c r="N32" s="16"/>
      <c r="O32" s="16"/>
      <c r="P32" s="16"/>
      <c r="Q32" s="16"/>
    </row>
    <row r="33" spans="1:17" s="21" customFormat="1" x14ac:dyDescent="0.2">
      <c r="A33" s="16" t="s">
        <v>135</v>
      </c>
      <c r="B33" s="16" t="s">
        <v>136</v>
      </c>
      <c r="C33" s="16" t="s">
        <v>48</v>
      </c>
      <c r="D33" s="47" t="s">
        <v>75</v>
      </c>
      <c r="E33" s="16" t="s">
        <v>64</v>
      </c>
      <c r="F33" s="16" t="s">
        <v>61</v>
      </c>
      <c r="G33" s="16" t="s">
        <v>137</v>
      </c>
      <c r="H33" s="16" t="s">
        <v>138</v>
      </c>
      <c r="I33" s="16" t="s">
        <v>241</v>
      </c>
      <c r="J33" s="16" t="s">
        <v>242</v>
      </c>
      <c r="K33" s="16" t="s">
        <v>243</v>
      </c>
      <c r="L33" s="16" t="s">
        <v>53</v>
      </c>
      <c r="M33" s="16"/>
      <c r="N33" s="16"/>
      <c r="O33" s="16"/>
      <c r="P33" s="16"/>
      <c r="Q33" s="16"/>
    </row>
    <row r="34" spans="1:17" s="21" customFormat="1" x14ac:dyDescent="0.2">
      <c r="A34" s="16" t="s">
        <v>139</v>
      </c>
      <c r="B34" s="16" t="s">
        <v>140</v>
      </c>
      <c r="C34" s="16" t="s">
        <v>48</v>
      </c>
      <c r="D34" s="47" t="s">
        <v>75</v>
      </c>
      <c r="E34" s="16" t="s">
        <v>141</v>
      </c>
      <c r="F34" s="16" t="s">
        <v>61</v>
      </c>
      <c r="G34" s="16" t="s">
        <v>142</v>
      </c>
      <c r="H34" s="16" t="s">
        <v>138</v>
      </c>
      <c r="I34" s="16" t="s">
        <v>244</v>
      </c>
      <c r="J34" s="16" t="s">
        <v>245</v>
      </c>
      <c r="K34" s="16" t="s">
        <v>246</v>
      </c>
      <c r="L34" s="16" t="s">
        <v>53</v>
      </c>
      <c r="M34" s="16"/>
      <c r="N34" s="16"/>
      <c r="O34" s="16"/>
      <c r="P34" s="16"/>
      <c r="Q34" s="16"/>
    </row>
    <row r="35" spans="1:17" s="21" customFormat="1" x14ac:dyDescent="0.2">
      <c r="A35" s="16" t="s">
        <v>143</v>
      </c>
      <c r="B35" s="16" t="s">
        <v>144</v>
      </c>
      <c r="C35" s="16" t="s">
        <v>48</v>
      </c>
      <c r="D35" s="55" t="s">
        <v>100</v>
      </c>
      <c r="E35" s="16" t="s">
        <v>50</v>
      </c>
      <c r="F35" s="16" t="s">
        <v>61</v>
      </c>
      <c r="G35" s="16" t="s">
        <v>145</v>
      </c>
      <c r="H35" s="17" t="s">
        <v>247</v>
      </c>
      <c r="I35" s="17" t="s">
        <v>248</v>
      </c>
      <c r="J35" s="16" t="s">
        <v>249</v>
      </c>
      <c r="K35" s="16" t="s">
        <v>250</v>
      </c>
      <c r="L35" s="16" t="s">
        <v>53</v>
      </c>
      <c r="M35" s="16"/>
      <c r="N35" s="16"/>
      <c r="O35" s="16"/>
      <c r="P35" s="16"/>
      <c r="Q35" s="16"/>
    </row>
    <row r="36" spans="1:17" s="21" customFormat="1" x14ac:dyDescent="0.2">
      <c r="A36" s="16" t="s">
        <v>197</v>
      </c>
      <c r="B36" s="16" t="s">
        <v>198</v>
      </c>
      <c r="C36" s="16" t="s">
        <v>48</v>
      </c>
      <c r="D36" s="49" t="s">
        <v>49</v>
      </c>
      <c r="E36" s="16" t="s">
        <v>50</v>
      </c>
      <c r="F36" s="16" t="s">
        <v>199</v>
      </c>
      <c r="G36" s="16" t="s">
        <v>200</v>
      </c>
      <c r="H36" s="16" t="s">
        <v>251</v>
      </c>
      <c r="I36" s="16" t="s">
        <v>61</v>
      </c>
      <c r="J36" s="16" t="s">
        <v>252</v>
      </c>
      <c r="K36" s="16" t="s">
        <v>253</v>
      </c>
      <c r="L36" s="16" t="s">
        <v>53</v>
      </c>
      <c r="M36" s="16"/>
      <c r="N36" s="16"/>
      <c r="O36" s="16"/>
      <c r="P36" s="16"/>
      <c r="Q36" s="16"/>
    </row>
    <row r="37" spans="1:17" s="21" customFormat="1" x14ac:dyDescent="0.2">
      <c r="A37" s="16" t="s">
        <v>201</v>
      </c>
      <c r="B37" s="16" t="s">
        <v>202</v>
      </c>
      <c r="C37" s="16" t="s">
        <v>48</v>
      </c>
      <c r="D37" s="49" t="s">
        <v>49</v>
      </c>
      <c r="E37" s="16" t="s">
        <v>50</v>
      </c>
      <c r="F37" s="16" t="s">
        <v>199</v>
      </c>
      <c r="G37" s="16" t="s">
        <v>203</v>
      </c>
      <c r="H37" s="16" t="s">
        <v>254</v>
      </c>
      <c r="I37" s="16" t="s">
        <v>61</v>
      </c>
      <c r="J37" s="16" t="s">
        <v>255</v>
      </c>
      <c r="K37" s="16" t="s">
        <v>256</v>
      </c>
      <c r="L37" s="16" t="s">
        <v>53</v>
      </c>
      <c r="M37" s="16"/>
      <c r="N37" s="16"/>
      <c r="O37" s="16"/>
      <c r="P37" s="16"/>
      <c r="Q37" s="16"/>
    </row>
    <row r="38" spans="1:17" s="21" customFormat="1" x14ac:dyDescent="0.2">
      <c r="A38" s="16" t="s">
        <v>204</v>
      </c>
      <c r="B38" s="16" t="s">
        <v>205</v>
      </c>
      <c r="C38" s="16" t="s">
        <v>48</v>
      </c>
      <c r="D38" s="49" t="s">
        <v>49</v>
      </c>
      <c r="E38" s="16" t="s">
        <v>50</v>
      </c>
      <c r="F38" s="16" t="s">
        <v>199</v>
      </c>
      <c r="G38" s="16" t="s">
        <v>206</v>
      </c>
      <c r="H38" s="16" t="s">
        <v>257</v>
      </c>
      <c r="I38" s="16" t="s">
        <v>61</v>
      </c>
      <c r="J38" s="16" t="s">
        <v>258</v>
      </c>
      <c r="K38" s="16" t="s">
        <v>259</v>
      </c>
      <c r="L38" s="16" t="s">
        <v>53</v>
      </c>
      <c r="M38" s="16"/>
      <c r="N38" s="16"/>
      <c r="O38" s="16"/>
      <c r="P38" s="16"/>
      <c r="Q38" s="16"/>
    </row>
    <row r="39" spans="1:17" s="24" customFormat="1" ht="13.5" customHeight="1" x14ac:dyDescent="0.2">
      <c r="A39" s="16" t="s">
        <v>207</v>
      </c>
      <c r="B39" s="16" t="s">
        <v>208</v>
      </c>
      <c r="C39" s="16" t="s">
        <v>48</v>
      </c>
      <c r="D39" s="49" t="s">
        <v>49</v>
      </c>
      <c r="E39" s="16" t="s">
        <v>50</v>
      </c>
      <c r="F39" s="16" t="s">
        <v>209</v>
      </c>
      <c r="G39" s="16" t="s">
        <v>210</v>
      </c>
      <c r="H39" s="16" t="s">
        <v>260</v>
      </c>
      <c r="I39" s="16" t="s">
        <v>61</v>
      </c>
      <c r="J39" s="16" t="s">
        <v>261</v>
      </c>
      <c r="K39" s="16" t="s">
        <v>262</v>
      </c>
      <c r="L39" s="16" t="s">
        <v>53</v>
      </c>
      <c r="M39" s="16"/>
      <c r="N39" s="16"/>
      <c r="O39" s="16"/>
      <c r="P39" s="16"/>
      <c r="Q39" s="16"/>
    </row>
    <row r="40" spans="1:17" s="25" customFormat="1" x14ac:dyDescent="0.2">
      <c r="A40" s="16" t="s">
        <v>211</v>
      </c>
      <c r="B40" s="16" t="s">
        <v>212</v>
      </c>
      <c r="C40" s="16" t="s">
        <v>48</v>
      </c>
      <c r="D40" s="47" t="s">
        <v>75</v>
      </c>
      <c r="E40" s="16" t="s">
        <v>50</v>
      </c>
      <c r="F40" s="16" t="s">
        <v>213</v>
      </c>
      <c r="G40" s="16" t="s">
        <v>214</v>
      </c>
      <c r="H40" s="16" t="s">
        <v>263</v>
      </c>
      <c r="I40" s="18"/>
      <c r="J40" s="16" t="s">
        <v>61</v>
      </c>
      <c r="K40" s="16" t="s">
        <v>264</v>
      </c>
      <c r="L40" s="16" t="s">
        <v>53</v>
      </c>
      <c r="M40" s="16"/>
      <c r="N40" s="16"/>
      <c r="O40" s="16"/>
      <c r="P40" s="16"/>
      <c r="Q40" s="16"/>
    </row>
    <row r="41" spans="1:17" s="23" customFormat="1" ht="12.75" x14ac:dyDescent="0.2">
      <c r="A41" s="16" t="s">
        <v>265</v>
      </c>
      <c r="B41" s="16" t="s">
        <v>266</v>
      </c>
      <c r="C41" s="16" t="s">
        <v>267</v>
      </c>
      <c r="D41" s="49" t="s">
        <v>49</v>
      </c>
      <c r="E41" s="16" t="s">
        <v>50</v>
      </c>
      <c r="F41" s="16" t="s">
        <v>268</v>
      </c>
      <c r="G41" s="16" t="s">
        <v>269</v>
      </c>
      <c r="H41" s="16" t="s">
        <v>384</v>
      </c>
      <c r="I41" s="16" t="s">
        <v>270</v>
      </c>
      <c r="J41" s="16" t="s">
        <v>385</v>
      </c>
      <c r="K41" s="16" t="s">
        <v>386</v>
      </c>
      <c r="L41" s="16" t="s">
        <v>53</v>
      </c>
      <c r="M41" s="16"/>
      <c r="N41" s="16"/>
      <c r="O41" s="16"/>
      <c r="P41" s="16"/>
      <c r="Q41" s="16"/>
    </row>
    <row r="42" spans="1:17" s="23" customFormat="1" ht="12.75" x14ac:dyDescent="0.2">
      <c r="A42" s="16" t="s">
        <v>271</v>
      </c>
      <c r="B42" s="16" t="s">
        <v>272</v>
      </c>
      <c r="C42" s="16" t="s">
        <v>267</v>
      </c>
      <c r="D42" s="49" t="s">
        <v>49</v>
      </c>
      <c r="E42" s="16" t="s">
        <v>50</v>
      </c>
      <c r="F42" s="16" t="s">
        <v>273</v>
      </c>
      <c r="G42" s="16" t="s">
        <v>274</v>
      </c>
      <c r="H42" s="16" t="s">
        <v>275</v>
      </c>
      <c r="I42" s="16" t="s">
        <v>387</v>
      </c>
      <c r="J42" s="16" t="s">
        <v>388</v>
      </c>
      <c r="K42" s="16" t="s">
        <v>389</v>
      </c>
      <c r="L42" s="16" t="s">
        <v>53</v>
      </c>
      <c r="M42" s="16"/>
      <c r="N42" s="16"/>
      <c r="O42" s="16"/>
      <c r="P42" s="16"/>
      <c r="Q42" s="16"/>
    </row>
    <row r="43" spans="1:17" s="23" customFormat="1" ht="12.75" x14ac:dyDescent="0.2">
      <c r="A43" s="16" t="s">
        <v>276</v>
      </c>
      <c r="B43" s="16" t="s">
        <v>277</v>
      </c>
      <c r="C43" s="16" t="s">
        <v>267</v>
      </c>
      <c r="D43" s="47" t="s">
        <v>75</v>
      </c>
      <c r="E43" s="16" t="s">
        <v>50</v>
      </c>
      <c r="F43" s="16" t="s">
        <v>278</v>
      </c>
      <c r="G43" s="16" t="s">
        <v>279</v>
      </c>
      <c r="H43" s="16" t="s">
        <v>280</v>
      </c>
      <c r="I43" s="16" t="s">
        <v>281</v>
      </c>
      <c r="J43" s="16" t="s">
        <v>390</v>
      </c>
      <c r="K43" s="16" t="s">
        <v>391</v>
      </c>
      <c r="L43" s="16" t="s">
        <v>53</v>
      </c>
      <c r="M43" s="16"/>
      <c r="N43" s="16"/>
      <c r="O43" s="16"/>
      <c r="P43" s="16"/>
      <c r="Q43" s="16"/>
    </row>
    <row r="44" spans="1:17" s="23" customFormat="1" ht="12.75" x14ac:dyDescent="0.2">
      <c r="A44" s="16" t="s">
        <v>282</v>
      </c>
      <c r="B44" s="16" t="s">
        <v>283</v>
      </c>
      <c r="C44" s="16" t="s">
        <v>267</v>
      </c>
      <c r="D44" s="49" t="s">
        <v>49</v>
      </c>
      <c r="E44" s="16" t="s">
        <v>50</v>
      </c>
      <c r="F44" s="16" t="s">
        <v>284</v>
      </c>
      <c r="G44" s="16" t="s">
        <v>285</v>
      </c>
      <c r="H44" s="16" t="s">
        <v>392</v>
      </c>
      <c r="I44" s="16" t="s">
        <v>286</v>
      </c>
      <c r="J44" s="16" t="s">
        <v>393</v>
      </c>
      <c r="K44" s="16" t="s">
        <v>394</v>
      </c>
      <c r="L44" s="16" t="s">
        <v>53</v>
      </c>
      <c r="M44" s="16"/>
      <c r="N44" s="16"/>
      <c r="O44" s="16"/>
      <c r="P44" s="16"/>
      <c r="Q44" s="16"/>
    </row>
    <row r="45" spans="1:17" s="23" customFormat="1" ht="12.75" x14ac:dyDescent="0.2">
      <c r="A45" s="16" t="s">
        <v>287</v>
      </c>
      <c r="B45" s="16" t="s">
        <v>288</v>
      </c>
      <c r="C45" s="16" t="s">
        <v>267</v>
      </c>
      <c r="D45" s="49" t="s">
        <v>49</v>
      </c>
      <c r="E45" s="16" t="s">
        <v>50</v>
      </c>
      <c r="F45" s="16" t="s">
        <v>289</v>
      </c>
      <c r="G45" s="16" t="s">
        <v>290</v>
      </c>
      <c r="H45" s="16" t="s">
        <v>291</v>
      </c>
      <c r="I45" s="16" t="s">
        <v>292</v>
      </c>
      <c r="J45" s="16" t="s">
        <v>395</v>
      </c>
      <c r="K45" s="16" t="s">
        <v>396</v>
      </c>
      <c r="L45" s="16" t="s">
        <v>53</v>
      </c>
      <c r="M45" s="16"/>
      <c r="N45" s="16"/>
      <c r="O45" s="16"/>
      <c r="P45" s="16"/>
      <c r="Q45" s="16"/>
    </row>
    <row r="46" spans="1:17" s="23" customFormat="1" ht="12.75" x14ac:dyDescent="0.2">
      <c r="A46" s="16" t="s">
        <v>293</v>
      </c>
      <c r="B46" s="16" t="s">
        <v>294</v>
      </c>
      <c r="C46" s="16" t="s">
        <v>267</v>
      </c>
      <c r="D46" s="47" t="s">
        <v>75</v>
      </c>
      <c r="E46" s="16" t="s">
        <v>50</v>
      </c>
      <c r="F46" s="16" t="s">
        <v>61</v>
      </c>
      <c r="G46" s="16" t="s">
        <v>295</v>
      </c>
      <c r="H46" s="16" t="s">
        <v>397</v>
      </c>
      <c r="I46" s="16" t="s">
        <v>398</v>
      </c>
      <c r="J46" s="16" t="s">
        <v>399</v>
      </c>
      <c r="K46" s="16" t="s">
        <v>400</v>
      </c>
      <c r="L46" s="16" t="s">
        <v>53</v>
      </c>
      <c r="M46" s="16"/>
      <c r="N46" s="16"/>
      <c r="O46" s="16"/>
      <c r="P46" s="16"/>
      <c r="Q46" s="16"/>
    </row>
    <row r="47" spans="1:17" s="23" customFormat="1" ht="12.75" x14ac:dyDescent="0.2">
      <c r="A47" s="16" t="s">
        <v>296</v>
      </c>
      <c r="B47" s="16" t="s">
        <v>297</v>
      </c>
      <c r="C47" s="16" t="s">
        <v>267</v>
      </c>
      <c r="D47" s="49" t="s">
        <v>49</v>
      </c>
      <c r="E47" s="16" t="s">
        <v>50</v>
      </c>
      <c r="F47" s="16" t="s">
        <v>298</v>
      </c>
      <c r="G47" s="16" t="s">
        <v>299</v>
      </c>
      <c r="H47" s="16" t="s">
        <v>300</v>
      </c>
      <c r="I47" s="16" t="s">
        <v>61</v>
      </c>
      <c r="J47" s="16" t="s">
        <v>401</v>
      </c>
      <c r="K47" s="16" t="s">
        <v>402</v>
      </c>
      <c r="L47" s="16" t="s">
        <v>53</v>
      </c>
      <c r="M47" s="16"/>
      <c r="N47" s="16"/>
      <c r="O47" s="16"/>
      <c r="P47" s="16"/>
      <c r="Q47" s="16"/>
    </row>
    <row r="48" spans="1:17" s="23" customFormat="1" ht="12.75" x14ac:dyDescent="0.2">
      <c r="A48" s="16" t="s">
        <v>301</v>
      </c>
      <c r="B48" s="16" t="s">
        <v>302</v>
      </c>
      <c r="C48" s="16" t="s">
        <v>267</v>
      </c>
      <c r="D48" s="49" t="s">
        <v>49</v>
      </c>
      <c r="E48" s="16" t="s">
        <v>50</v>
      </c>
      <c r="F48" s="16" t="s">
        <v>303</v>
      </c>
      <c r="G48" s="16" t="s">
        <v>304</v>
      </c>
      <c r="H48" s="16" t="s">
        <v>305</v>
      </c>
      <c r="I48" s="16" t="s">
        <v>61</v>
      </c>
      <c r="J48" s="16" t="s">
        <v>403</v>
      </c>
      <c r="K48" s="16" t="s">
        <v>404</v>
      </c>
      <c r="L48" s="16" t="s">
        <v>53</v>
      </c>
      <c r="M48" s="16"/>
      <c r="N48" s="16"/>
      <c r="O48" s="16"/>
      <c r="P48" s="16"/>
      <c r="Q48" s="16"/>
    </row>
    <row r="49" spans="1:17" s="23" customFormat="1" ht="12.75" x14ac:dyDescent="0.2">
      <c r="A49" s="16" t="s">
        <v>306</v>
      </c>
      <c r="B49" s="16" t="s">
        <v>307</v>
      </c>
      <c r="C49" s="16" t="s">
        <v>267</v>
      </c>
      <c r="D49" s="49" t="s">
        <v>49</v>
      </c>
      <c r="E49" s="16" t="s">
        <v>50</v>
      </c>
      <c r="F49" s="16" t="s">
        <v>308</v>
      </c>
      <c r="G49" s="16" t="s">
        <v>309</v>
      </c>
      <c r="H49" s="16" t="s">
        <v>405</v>
      </c>
      <c r="I49" s="16" t="s">
        <v>310</v>
      </c>
      <c r="J49" s="16" t="s">
        <v>406</v>
      </c>
      <c r="K49" s="16" t="s">
        <v>407</v>
      </c>
      <c r="L49" s="16" t="s">
        <v>53</v>
      </c>
      <c r="M49" s="16"/>
      <c r="N49" s="16"/>
      <c r="O49" s="16"/>
      <c r="P49" s="16"/>
      <c r="Q49" s="16"/>
    </row>
    <row r="50" spans="1:17" s="23" customFormat="1" ht="12.75" x14ac:dyDescent="0.2">
      <c r="A50" s="16" t="s">
        <v>311</v>
      </c>
      <c r="B50" s="16" t="s">
        <v>312</v>
      </c>
      <c r="C50" s="16" t="s">
        <v>267</v>
      </c>
      <c r="D50" s="47" t="s">
        <v>75</v>
      </c>
      <c r="E50" s="16" t="s">
        <v>50</v>
      </c>
      <c r="F50" s="16" t="s">
        <v>313</v>
      </c>
      <c r="G50" s="16" t="s">
        <v>314</v>
      </c>
      <c r="H50" s="16" t="s">
        <v>408</v>
      </c>
      <c r="I50" s="16" t="s">
        <v>61</v>
      </c>
      <c r="J50" s="16" t="s">
        <v>409</v>
      </c>
      <c r="K50" s="16" t="s">
        <v>410</v>
      </c>
      <c r="L50" s="16" t="s">
        <v>53</v>
      </c>
      <c r="M50" s="16"/>
      <c r="N50" s="16"/>
      <c r="O50" s="16"/>
      <c r="P50" s="16"/>
      <c r="Q50" s="16"/>
    </row>
    <row r="51" spans="1:17" s="23" customFormat="1" ht="12.75" x14ac:dyDescent="0.2">
      <c r="A51" s="16" t="s">
        <v>315</v>
      </c>
      <c r="B51" s="16" t="s">
        <v>316</v>
      </c>
      <c r="C51" s="16" t="s">
        <v>267</v>
      </c>
      <c r="D51" s="47" t="s">
        <v>75</v>
      </c>
      <c r="E51" s="16" t="s">
        <v>50</v>
      </c>
      <c r="F51" s="16" t="s">
        <v>317</v>
      </c>
      <c r="G51" s="16" t="s">
        <v>318</v>
      </c>
      <c r="H51" s="16" t="s">
        <v>305</v>
      </c>
      <c r="I51" s="16" t="s">
        <v>61</v>
      </c>
      <c r="J51" s="16" t="s">
        <v>411</v>
      </c>
      <c r="K51" s="16" t="s">
        <v>412</v>
      </c>
      <c r="L51" s="16" t="s">
        <v>53</v>
      </c>
      <c r="M51" s="16"/>
      <c r="N51" s="16"/>
      <c r="O51" s="16"/>
      <c r="P51" s="16"/>
      <c r="Q51" s="16"/>
    </row>
    <row r="52" spans="1:17" s="23" customFormat="1" ht="12.75" x14ac:dyDescent="0.2">
      <c r="A52" s="16" t="s">
        <v>319</v>
      </c>
      <c r="B52" s="16" t="s">
        <v>320</v>
      </c>
      <c r="C52" s="16" t="s">
        <v>267</v>
      </c>
      <c r="D52" s="49" t="s">
        <v>49</v>
      </c>
      <c r="E52" s="16" t="s">
        <v>50</v>
      </c>
      <c r="F52" s="16" t="s">
        <v>321</v>
      </c>
      <c r="G52" s="16" t="s">
        <v>322</v>
      </c>
      <c r="H52" s="16" t="s">
        <v>413</v>
      </c>
      <c r="I52" s="16" t="s">
        <v>323</v>
      </c>
      <c r="J52" s="16" t="s">
        <v>414</v>
      </c>
      <c r="K52" s="16" t="s">
        <v>415</v>
      </c>
      <c r="L52" s="16" t="s">
        <v>53</v>
      </c>
      <c r="M52" s="16"/>
      <c r="N52" s="16"/>
      <c r="O52" s="16"/>
      <c r="P52" s="16"/>
      <c r="Q52" s="16"/>
    </row>
    <row r="53" spans="1:17" s="23" customFormat="1" ht="12.75" x14ac:dyDescent="0.2">
      <c r="A53" s="16" t="s">
        <v>324</v>
      </c>
      <c r="B53" s="16" t="s">
        <v>325</v>
      </c>
      <c r="C53" s="16" t="s">
        <v>267</v>
      </c>
      <c r="D53" s="47" t="s">
        <v>75</v>
      </c>
      <c r="E53" s="16" t="s">
        <v>50</v>
      </c>
      <c r="F53" s="16" t="s">
        <v>326</v>
      </c>
      <c r="G53" s="16" t="s">
        <v>327</v>
      </c>
      <c r="H53" s="16" t="s">
        <v>328</v>
      </c>
      <c r="I53" s="16" t="s">
        <v>61</v>
      </c>
      <c r="J53" s="16" t="s">
        <v>416</v>
      </c>
      <c r="K53" s="16" t="s">
        <v>417</v>
      </c>
      <c r="L53" s="16" t="s">
        <v>53</v>
      </c>
      <c r="M53" s="16"/>
      <c r="N53" s="16"/>
      <c r="O53" s="16"/>
      <c r="P53" s="16"/>
      <c r="Q53" s="16"/>
    </row>
    <row r="54" spans="1:17" s="23" customFormat="1" ht="12.75" x14ac:dyDescent="0.2">
      <c r="A54" s="16" t="s">
        <v>329</v>
      </c>
      <c r="B54" s="16" t="s">
        <v>330</v>
      </c>
      <c r="C54" s="16" t="s">
        <v>267</v>
      </c>
      <c r="D54" s="49" t="s">
        <v>49</v>
      </c>
      <c r="E54" s="16" t="s">
        <v>50</v>
      </c>
      <c r="F54" s="16" t="s">
        <v>331</v>
      </c>
      <c r="G54" s="16" t="s">
        <v>332</v>
      </c>
      <c r="H54" s="16" t="s">
        <v>333</v>
      </c>
      <c r="I54" s="16" t="s">
        <v>334</v>
      </c>
      <c r="J54" s="16" t="s">
        <v>418</v>
      </c>
      <c r="K54" s="16" t="s">
        <v>419</v>
      </c>
      <c r="L54" s="16" t="s">
        <v>53</v>
      </c>
      <c r="M54" s="16"/>
      <c r="N54" s="16"/>
      <c r="O54" s="16"/>
      <c r="P54" s="16"/>
      <c r="Q54" s="16"/>
    </row>
    <row r="55" spans="1:17" s="23" customFormat="1" ht="12.75" x14ac:dyDescent="0.2">
      <c r="A55" s="16" t="s">
        <v>335</v>
      </c>
      <c r="B55" s="16" t="s">
        <v>336</v>
      </c>
      <c r="C55" s="16" t="s">
        <v>267</v>
      </c>
      <c r="D55" s="49" t="s">
        <v>49</v>
      </c>
      <c r="E55" s="16" t="s">
        <v>50</v>
      </c>
      <c r="F55" s="16" t="s">
        <v>331</v>
      </c>
      <c r="G55" s="16" t="s">
        <v>337</v>
      </c>
      <c r="H55" s="16" t="s">
        <v>338</v>
      </c>
      <c r="I55" s="16" t="s">
        <v>339</v>
      </c>
      <c r="J55" s="16" t="s">
        <v>420</v>
      </c>
      <c r="K55" s="16" t="s">
        <v>421</v>
      </c>
      <c r="L55" s="16" t="s">
        <v>53</v>
      </c>
      <c r="M55" s="16"/>
      <c r="N55" s="16"/>
      <c r="O55" s="16"/>
      <c r="P55" s="16"/>
      <c r="Q55" s="16"/>
    </row>
    <row r="56" spans="1:17" s="23" customFormat="1" ht="12.75" x14ac:dyDescent="0.2">
      <c r="A56" s="16" t="s">
        <v>340</v>
      </c>
      <c r="B56" s="16" t="s">
        <v>341</v>
      </c>
      <c r="C56" s="16" t="s">
        <v>267</v>
      </c>
      <c r="D56" s="49" t="s">
        <v>49</v>
      </c>
      <c r="E56" s="16" t="s">
        <v>50</v>
      </c>
      <c r="F56" s="16" t="s">
        <v>342</v>
      </c>
      <c r="G56" s="16" t="s">
        <v>343</v>
      </c>
      <c r="H56" s="16" t="s">
        <v>344</v>
      </c>
      <c r="I56" s="16" t="s">
        <v>345</v>
      </c>
      <c r="J56" s="16" t="s">
        <v>422</v>
      </c>
      <c r="K56" s="16" t="s">
        <v>423</v>
      </c>
      <c r="L56" s="16" t="s">
        <v>53</v>
      </c>
      <c r="M56" s="16"/>
      <c r="N56" s="16"/>
      <c r="O56" s="16"/>
      <c r="P56" s="16"/>
      <c r="Q56" s="16"/>
    </row>
    <row r="57" spans="1:17" s="23" customFormat="1" ht="12.75" x14ac:dyDescent="0.2">
      <c r="A57" s="16" t="s">
        <v>346</v>
      </c>
      <c r="B57" s="16" t="s">
        <v>347</v>
      </c>
      <c r="C57" s="16" t="s">
        <v>267</v>
      </c>
      <c r="D57" s="49" t="s">
        <v>49</v>
      </c>
      <c r="E57" s="16" t="s">
        <v>50</v>
      </c>
      <c r="F57" s="16" t="s">
        <v>348</v>
      </c>
      <c r="G57" s="16" t="s">
        <v>349</v>
      </c>
      <c r="H57" s="16" t="s">
        <v>350</v>
      </c>
      <c r="I57" s="16" t="s">
        <v>61</v>
      </c>
      <c r="J57" s="16" t="s">
        <v>424</v>
      </c>
      <c r="K57" s="16" t="s">
        <v>425</v>
      </c>
      <c r="L57" s="16" t="s">
        <v>53</v>
      </c>
      <c r="M57" s="16"/>
      <c r="N57" s="16"/>
      <c r="O57" s="16"/>
      <c r="P57" s="16"/>
      <c r="Q57" s="16"/>
    </row>
    <row r="58" spans="1:17" s="23" customFormat="1" ht="12.75" x14ac:dyDescent="0.2">
      <c r="A58" s="16" t="s">
        <v>351</v>
      </c>
      <c r="B58" s="16" t="s">
        <v>352</v>
      </c>
      <c r="C58" s="16" t="s">
        <v>267</v>
      </c>
      <c r="D58" s="49" t="s">
        <v>49</v>
      </c>
      <c r="E58" s="16" t="s">
        <v>50</v>
      </c>
      <c r="F58" s="16" t="s">
        <v>353</v>
      </c>
      <c r="G58" s="16" t="s">
        <v>354</v>
      </c>
      <c r="H58" s="16" t="s">
        <v>355</v>
      </c>
      <c r="I58" s="16" t="s">
        <v>61</v>
      </c>
      <c r="J58" s="16" t="s">
        <v>426</v>
      </c>
      <c r="K58" s="16" t="s">
        <v>427</v>
      </c>
      <c r="L58" s="16" t="s">
        <v>53</v>
      </c>
      <c r="M58" s="16"/>
      <c r="N58" s="16"/>
      <c r="O58" s="16"/>
      <c r="P58" s="16"/>
      <c r="Q58" s="16"/>
    </row>
    <row r="59" spans="1:17" s="23" customFormat="1" ht="12.75" x14ac:dyDescent="0.2">
      <c r="A59" s="16" t="s">
        <v>356</v>
      </c>
      <c r="B59" s="16" t="s">
        <v>357</v>
      </c>
      <c r="C59" s="16" t="s">
        <v>267</v>
      </c>
      <c r="D59" s="55" t="s">
        <v>100</v>
      </c>
      <c r="E59" s="16" t="s">
        <v>50</v>
      </c>
      <c r="F59" s="16" t="s">
        <v>358</v>
      </c>
      <c r="G59" s="16" t="s">
        <v>359</v>
      </c>
      <c r="H59" s="16" t="s">
        <v>360</v>
      </c>
      <c r="I59" s="16" t="s">
        <v>61</v>
      </c>
      <c r="J59" s="16" t="s">
        <v>428</v>
      </c>
      <c r="K59" s="16" t="s">
        <v>429</v>
      </c>
      <c r="L59" s="16" t="s">
        <v>53</v>
      </c>
      <c r="M59" s="16"/>
      <c r="N59" s="16"/>
      <c r="O59" s="16"/>
      <c r="P59" s="16"/>
      <c r="Q59" s="16"/>
    </row>
    <row r="60" spans="1:17" s="23" customFormat="1" ht="12.75" x14ac:dyDescent="0.2">
      <c r="A60" s="16" t="s">
        <v>361</v>
      </c>
      <c r="B60" s="16" t="s">
        <v>362</v>
      </c>
      <c r="C60" s="16" t="s">
        <v>267</v>
      </c>
      <c r="D60" s="47" t="s">
        <v>75</v>
      </c>
      <c r="E60" s="16" t="s">
        <v>50</v>
      </c>
      <c r="F60" s="16" t="s">
        <v>363</v>
      </c>
      <c r="G60" s="16" t="s">
        <v>364</v>
      </c>
      <c r="H60" s="16" t="s">
        <v>365</v>
      </c>
      <c r="I60" s="16" t="s">
        <v>61</v>
      </c>
      <c r="J60" s="16" t="s">
        <v>430</v>
      </c>
      <c r="K60" s="16" t="s">
        <v>431</v>
      </c>
      <c r="L60" s="16" t="s">
        <v>53</v>
      </c>
      <c r="M60" s="16"/>
      <c r="N60" s="16"/>
      <c r="O60" s="16"/>
      <c r="P60" s="16"/>
      <c r="Q60" s="16"/>
    </row>
    <row r="61" spans="1:17" s="23" customFormat="1" ht="12.75" x14ac:dyDescent="0.2">
      <c r="A61" s="16" t="s">
        <v>366</v>
      </c>
      <c r="B61" s="16" t="s">
        <v>367</v>
      </c>
      <c r="C61" s="16" t="s">
        <v>267</v>
      </c>
      <c r="D61" s="47" t="s">
        <v>75</v>
      </c>
      <c r="E61" s="16" t="s">
        <v>64</v>
      </c>
      <c r="F61" s="16" t="s">
        <v>61</v>
      </c>
      <c r="G61" s="16" t="s">
        <v>368</v>
      </c>
      <c r="H61" s="16" t="s">
        <v>360</v>
      </c>
      <c r="I61" s="16" t="s">
        <v>369</v>
      </c>
      <c r="J61" s="16" t="s">
        <v>432</v>
      </c>
      <c r="K61" s="16" t="s">
        <v>433</v>
      </c>
      <c r="L61" s="16" t="s">
        <v>53</v>
      </c>
      <c r="M61" s="16"/>
      <c r="N61" s="16"/>
      <c r="O61" s="16"/>
      <c r="P61" s="16"/>
      <c r="Q61" s="16"/>
    </row>
    <row r="62" spans="1:17" s="23" customFormat="1" ht="12.75" x14ac:dyDescent="0.2">
      <c r="A62" s="16" t="s">
        <v>370</v>
      </c>
      <c r="B62" s="16" t="s">
        <v>371</v>
      </c>
      <c r="C62" s="16" t="s">
        <v>267</v>
      </c>
      <c r="D62" s="47" t="s">
        <v>75</v>
      </c>
      <c r="E62" s="16" t="s">
        <v>64</v>
      </c>
      <c r="F62" s="16" t="s">
        <v>61</v>
      </c>
      <c r="G62" s="16" t="s">
        <v>372</v>
      </c>
      <c r="H62" s="16" t="s">
        <v>373</v>
      </c>
      <c r="I62" s="16" t="s">
        <v>374</v>
      </c>
      <c r="J62" s="16" t="s">
        <v>434</v>
      </c>
      <c r="K62" s="16" t="s">
        <v>435</v>
      </c>
      <c r="L62" s="16" t="s">
        <v>53</v>
      </c>
      <c r="M62" s="16"/>
      <c r="N62" s="16"/>
      <c r="O62" s="16"/>
      <c r="P62" s="16"/>
      <c r="Q62" s="16"/>
    </row>
    <row r="63" spans="1:17" s="23" customFormat="1" ht="12.75" x14ac:dyDescent="0.2">
      <c r="A63" s="16" t="s">
        <v>375</v>
      </c>
      <c r="B63" s="16" t="s">
        <v>376</v>
      </c>
      <c r="C63" s="16" t="s">
        <v>267</v>
      </c>
      <c r="D63" s="49" t="s">
        <v>49</v>
      </c>
      <c r="E63" s="16" t="s">
        <v>50</v>
      </c>
      <c r="F63" s="16" t="s">
        <v>377</v>
      </c>
      <c r="G63" s="16" t="s">
        <v>378</v>
      </c>
      <c r="H63" s="16" t="s">
        <v>436</v>
      </c>
      <c r="I63" s="16" t="s">
        <v>61</v>
      </c>
      <c r="J63" s="16" t="s">
        <v>437</v>
      </c>
      <c r="K63" s="16" t="s">
        <v>438</v>
      </c>
      <c r="L63" s="16" t="s">
        <v>53</v>
      </c>
      <c r="M63" s="16"/>
      <c r="N63" s="16"/>
      <c r="O63" s="16"/>
      <c r="P63" s="16"/>
      <c r="Q63" s="16"/>
    </row>
    <row r="64" spans="1:17" s="23" customFormat="1" ht="12.75" x14ac:dyDescent="0.2">
      <c r="A64" s="16" t="s">
        <v>379</v>
      </c>
      <c r="B64" s="16" t="s">
        <v>380</v>
      </c>
      <c r="C64" s="16" t="s">
        <v>267</v>
      </c>
      <c r="D64" s="47" t="s">
        <v>75</v>
      </c>
      <c r="E64" s="16" t="s">
        <v>50</v>
      </c>
      <c r="F64" s="16" t="s">
        <v>381</v>
      </c>
      <c r="G64" s="16" t="s">
        <v>382</v>
      </c>
      <c r="H64" s="16" t="s">
        <v>383</v>
      </c>
      <c r="I64" s="18"/>
      <c r="J64" s="18"/>
      <c r="K64" s="18"/>
      <c r="L64" s="18"/>
      <c r="M64" s="18"/>
      <c r="N64" s="18"/>
      <c r="O64" s="18"/>
      <c r="P64" s="18"/>
      <c r="Q64" s="18"/>
    </row>
    <row r="65" spans="1:17" s="23" customFormat="1" ht="12.75" x14ac:dyDescent="0.2">
      <c r="A65" s="16" t="s">
        <v>439</v>
      </c>
      <c r="B65" s="16" t="s">
        <v>440</v>
      </c>
      <c r="C65" s="16" t="s">
        <v>441</v>
      </c>
      <c r="D65" s="49" t="s">
        <v>49</v>
      </c>
      <c r="E65" s="16" t="s">
        <v>50</v>
      </c>
      <c r="F65" s="16" t="s">
        <v>442</v>
      </c>
      <c r="G65" s="16" t="s">
        <v>443</v>
      </c>
      <c r="H65" s="16" t="s">
        <v>300</v>
      </c>
      <c r="I65" s="16" t="s">
        <v>61</v>
      </c>
      <c r="J65" s="16" t="s">
        <v>492</v>
      </c>
      <c r="K65" s="16" t="s">
        <v>493</v>
      </c>
      <c r="L65" s="16" t="s">
        <v>53</v>
      </c>
      <c r="M65" s="16"/>
      <c r="N65" s="16"/>
      <c r="O65" s="16"/>
      <c r="P65" s="16"/>
      <c r="Q65" s="16"/>
    </row>
    <row r="66" spans="1:17" s="23" customFormat="1" ht="12.75" x14ac:dyDescent="0.2">
      <c r="A66" s="16" t="s">
        <v>444</v>
      </c>
      <c r="B66" s="16" t="s">
        <v>445</v>
      </c>
      <c r="C66" s="16" t="s">
        <v>441</v>
      </c>
      <c r="D66" s="49" t="s">
        <v>49</v>
      </c>
      <c r="E66" s="16" t="s">
        <v>50</v>
      </c>
      <c r="F66" s="16" t="s">
        <v>446</v>
      </c>
      <c r="G66" s="16" t="s">
        <v>447</v>
      </c>
      <c r="H66" s="16" t="s">
        <v>494</v>
      </c>
      <c r="I66" s="16" t="s">
        <v>61</v>
      </c>
      <c r="J66" s="16" t="s">
        <v>495</v>
      </c>
      <c r="K66" s="16" t="s">
        <v>496</v>
      </c>
      <c r="L66" s="16" t="s">
        <v>53</v>
      </c>
      <c r="M66" s="16"/>
      <c r="N66" s="16"/>
      <c r="O66" s="16"/>
      <c r="P66" s="16"/>
      <c r="Q66" s="16"/>
    </row>
    <row r="67" spans="1:17" s="23" customFormat="1" ht="12.75" x14ac:dyDescent="0.2">
      <c r="A67" s="16" t="s">
        <v>448</v>
      </c>
      <c r="B67" s="16" t="s">
        <v>449</v>
      </c>
      <c r="C67" s="16" t="s">
        <v>441</v>
      </c>
      <c r="D67" s="49" t="s">
        <v>49</v>
      </c>
      <c r="E67" s="16" t="s">
        <v>50</v>
      </c>
      <c r="F67" s="16" t="s">
        <v>450</v>
      </c>
      <c r="G67" s="16" t="s">
        <v>451</v>
      </c>
      <c r="H67" s="16" t="s">
        <v>497</v>
      </c>
      <c r="I67" s="16" t="s">
        <v>61</v>
      </c>
      <c r="J67" s="16" t="s">
        <v>498</v>
      </c>
      <c r="K67" s="16" t="s">
        <v>499</v>
      </c>
      <c r="L67" s="16" t="s">
        <v>53</v>
      </c>
      <c r="M67" s="16"/>
      <c r="N67" s="16"/>
      <c r="O67" s="16"/>
      <c r="P67" s="16"/>
      <c r="Q67" s="16"/>
    </row>
    <row r="68" spans="1:17" s="23" customFormat="1" ht="12.75" x14ac:dyDescent="0.2">
      <c r="A68" s="16" t="s">
        <v>452</v>
      </c>
      <c r="B68" s="16" t="s">
        <v>453</v>
      </c>
      <c r="C68" s="16" t="s">
        <v>441</v>
      </c>
      <c r="D68" s="49" t="s">
        <v>49</v>
      </c>
      <c r="E68" s="16" t="s">
        <v>50</v>
      </c>
      <c r="F68" s="16" t="s">
        <v>454</v>
      </c>
      <c r="G68" s="16" t="s">
        <v>455</v>
      </c>
      <c r="H68" s="16" t="s">
        <v>500</v>
      </c>
      <c r="I68" s="16" t="s">
        <v>61</v>
      </c>
      <c r="J68" s="16" t="s">
        <v>501</v>
      </c>
      <c r="K68" s="16" t="s">
        <v>502</v>
      </c>
      <c r="L68" s="16" t="s">
        <v>53</v>
      </c>
      <c r="M68" s="16"/>
      <c r="N68" s="16"/>
      <c r="O68" s="16"/>
      <c r="P68" s="16"/>
      <c r="Q68" s="16"/>
    </row>
    <row r="69" spans="1:17" s="23" customFormat="1" ht="12.75" x14ac:dyDescent="0.2">
      <c r="A69" s="16" t="s">
        <v>456</v>
      </c>
      <c r="B69" s="16" t="s">
        <v>457</v>
      </c>
      <c r="C69" s="16" t="s">
        <v>441</v>
      </c>
      <c r="D69" s="49" t="s">
        <v>49</v>
      </c>
      <c r="E69" s="16" t="s">
        <v>50</v>
      </c>
      <c r="F69" s="16" t="s">
        <v>458</v>
      </c>
      <c r="G69" s="16" t="s">
        <v>459</v>
      </c>
      <c r="H69" s="16" t="s">
        <v>503</v>
      </c>
      <c r="I69" s="16" t="s">
        <v>61</v>
      </c>
      <c r="J69" s="16" t="s">
        <v>504</v>
      </c>
      <c r="K69" s="16" t="s">
        <v>505</v>
      </c>
      <c r="L69" s="16" t="s">
        <v>53</v>
      </c>
      <c r="M69" s="16"/>
      <c r="N69" s="16"/>
      <c r="O69" s="16"/>
      <c r="P69" s="16"/>
      <c r="Q69" s="16"/>
    </row>
    <row r="70" spans="1:17" s="23" customFormat="1" ht="12.75" x14ac:dyDescent="0.2">
      <c r="A70" s="16" t="s">
        <v>460</v>
      </c>
      <c r="B70" s="16" t="s">
        <v>461</v>
      </c>
      <c r="C70" s="16" t="s">
        <v>441</v>
      </c>
      <c r="D70" s="49" t="s">
        <v>49</v>
      </c>
      <c r="E70" s="16" t="s">
        <v>50</v>
      </c>
      <c r="F70" s="16" t="s">
        <v>462</v>
      </c>
      <c r="G70" s="16" t="s">
        <v>463</v>
      </c>
      <c r="H70" s="16" t="s">
        <v>464</v>
      </c>
      <c r="I70" s="16" t="s">
        <v>61</v>
      </c>
      <c r="J70" s="16" t="s">
        <v>506</v>
      </c>
      <c r="K70" s="16" t="s">
        <v>507</v>
      </c>
      <c r="L70" s="16" t="s">
        <v>53</v>
      </c>
      <c r="M70" s="16"/>
      <c r="N70" s="16"/>
      <c r="O70" s="16"/>
      <c r="P70" s="16"/>
      <c r="Q70" s="16"/>
    </row>
    <row r="71" spans="1:17" s="23" customFormat="1" ht="12.75" x14ac:dyDescent="0.2">
      <c r="A71" s="16" t="s">
        <v>465</v>
      </c>
      <c r="B71" s="16" t="s">
        <v>466</v>
      </c>
      <c r="C71" s="16" t="s">
        <v>441</v>
      </c>
      <c r="D71" s="49" t="s">
        <v>49</v>
      </c>
      <c r="E71" s="16" t="s">
        <v>64</v>
      </c>
      <c r="F71" s="16" t="s">
        <v>467</v>
      </c>
      <c r="G71" s="16" t="s">
        <v>468</v>
      </c>
      <c r="H71" s="16" t="s">
        <v>464</v>
      </c>
      <c r="I71" s="16" t="s">
        <v>97</v>
      </c>
      <c r="J71" s="16" t="s">
        <v>508</v>
      </c>
      <c r="K71" s="16" t="s">
        <v>509</v>
      </c>
      <c r="L71" s="16" t="s">
        <v>53</v>
      </c>
      <c r="M71" s="16"/>
      <c r="N71" s="16"/>
      <c r="O71" s="16"/>
      <c r="P71" s="16"/>
      <c r="Q71" s="16"/>
    </row>
    <row r="72" spans="1:17" s="23" customFormat="1" ht="12.75" x14ac:dyDescent="0.2">
      <c r="A72" s="16" t="s">
        <v>469</v>
      </c>
      <c r="B72" s="16" t="s">
        <v>470</v>
      </c>
      <c r="C72" s="16" t="s">
        <v>441</v>
      </c>
      <c r="D72" s="47" t="s">
        <v>75</v>
      </c>
      <c r="E72" s="16" t="s">
        <v>64</v>
      </c>
      <c r="F72" s="16" t="s">
        <v>471</v>
      </c>
      <c r="G72" s="16" t="s">
        <v>472</v>
      </c>
      <c r="H72" s="16" t="s">
        <v>464</v>
      </c>
      <c r="I72" s="16" t="s">
        <v>473</v>
      </c>
      <c r="J72" s="16" t="s">
        <v>510</v>
      </c>
      <c r="K72" s="16" t="s">
        <v>511</v>
      </c>
      <c r="L72" s="16" t="s">
        <v>53</v>
      </c>
      <c r="M72" s="16"/>
      <c r="N72" s="16"/>
      <c r="O72" s="16"/>
      <c r="P72" s="16"/>
      <c r="Q72" s="16"/>
    </row>
    <row r="73" spans="1:17" s="23" customFormat="1" ht="12.75" x14ac:dyDescent="0.2">
      <c r="A73" s="16" t="s">
        <v>474</v>
      </c>
      <c r="B73" s="16" t="s">
        <v>475</v>
      </c>
      <c r="C73" s="16" t="s">
        <v>441</v>
      </c>
      <c r="D73" s="47" t="s">
        <v>75</v>
      </c>
      <c r="E73" s="16" t="s">
        <v>64</v>
      </c>
      <c r="F73" s="16" t="s">
        <v>476</v>
      </c>
      <c r="G73" s="16" t="s">
        <v>477</v>
      </c>
      <c r="H73" s="16" t="s">
        <v>478</v>
      </c>
      <c r="I73" s="16" t="s">
        <v>479</v>
      </c>
      <c r="J73" s="16" t="s">
        <v>512</v>
      </c>
      <c r="K73" s="16" t="s">
        <v>513</v>
      </c>
      <c r="L73" s="16" t="s">
        <v>53</v>
      </c>
      <c r="M73" s="16"/>
      <c r="N73" s="16"/>
      <c r="O73" s="16"/>
      <c r="P73" s="16"/>
      <c r="Q73" s="16"/>
    </row>
    <row r="74" spans="1:17" s="23" customFormat="1" ht="12.75" x14ac:dyDescent="0.2">
      <c r="A74" s="16" t="s">
        <v>480</v>
      </c>
      <c r="B74" s="16" t="s">
        <v>481</v>
      </c>
      <c r="C74" s="16" t="s">
        <v>441</v>
      </c>
      <c r="D74" s="47" t="s">
        <v>75</v>
      </c>
      <c r="E74" s="16" t="s">
        <v>50</v>
      </c>
      <c r="F74" s="16" t="s">
        <v>482</v>
      </c>
      <c r="G74" s="16" t="s">
        <v>483</v>
      </c>
      <c r="H74" s="16" t="s">
        <v>514</v>
      </c>
      <c r="I74" s="16" t="s">
        <v>61</v>
      </c>
      <c r="J74" s="16" t="s">
        <v>515</v>
      </c>
      <c r="K74" s="16" t="s">
        <v>516</v>
      </c>
      <c r="L74" s="16" t="s">
        <v>53</v>
      </c>
      <c r="M74" s="16"/>
      <c r="N74" s="16"/>
      <c r="O74" s="16"/>
      <c r="P74" s="16"/>
      <c r="Q74" s="16"/>
    </row>
    <row r="75" spans="1:17" s="23" customFormat="1" ht="12.75" x14ac:dyDescent="0.2">
      <c r="A75" s="16" t="s">
        <v>484</v>
      </c>
      <c r="B75" s="16" t="s">
        <v>485</v>
      </c>
      <c r="C75" s="16" t="s">
        <v>441</v>
      </c>
      <c r="D75" s="49" t="s">
        <v>49</v>
      </c>
      <c r="E75" s="16" t="s">
        <v>50</v>
      </c>
      <c r="F75" s="16" t="s">
        <v>486</v>
      </c>
      <c r="G75" s="16" t="s">
        <v>487</v>
      </c>
      <c r="H75" s="16" t="s">
        <v>464</v>
      </c>
      <c r="I75" s="16" t="s">
        <v>517</v>
      </c>
      <c r="J75" s="16" t="s">
        <v>518</v>
      </c>
      <c r="K75" s="16" t="s">
        <v>519</v>
      </c>
      <c r="L75" s="16" t="s">
        <v>53</v>
      </c>
      <c r="M75" s="16"/>
      <c r="N75" s="16"/>
      <c r="O75" s="16"/>
      <c r="P75" s="16"/>
      <c r="Q75" s="16"/>
    </row>
    <row r="76" spans="1:17" s="23" customFormat="1" ht="12.75" x14ac:dyDescent="0.2">
      <c r="A76" s="16" t="s">
        <v>488</v>
      </c>
      <c r="B76" s="16" t="s">
        <v>489</v>
      </c>
      <c r="C76" s="16" t="s">
        <v>441</v>
      </c>
      <c r="D76" s="49" t="s">
        <v>49</v>
      </c>
      <c r="E76" s="16" t="s">
        <v>50</v>
      </c>
      <c r="F76" s="16" t="s">
        <v>490</v>
      </c>
      <c r="G76" s="16" t="s">
        <v>491</v>
      </c>
      <c r="H76" s="16" t="s">
        <v>520</v>
      </c>
      <c r="I76" s="16" t="s">
        <v>61</v>
      </c>
      <c r="J76" s="16" t="s">
        <v>521</v>
      </c>
      <c r="K76" s="16" t="s">
        <v>522</v>
      </c>
      <c r="L76" s="16" t="s">
        <v>53</v>
      </c>
      <c r="M76" s="16"/>
      <c r="N76" s="16"/>
      <c r="O76" s="20"/>
      <c r="P76" s="20"/>
      <c r="Q76" s="20"/>
    </row>
    <row r="77" spans="1:17" s="24" customFormat="1" x14ac:dyDescent="0.2">
      <c r="A77" s="16" t="s">
        <v>523</v>
      </c>
      <c r="B77" s="16" t="s">
        <v>524</v>
      </c>
      <c r="C77" s="16" t="s">
        <v>525</v>
      </c>
      <c r="D77" s="49" t="s">
        <v>49</v>
      </c>
      <c r="E77" s="16" t="s">
        <v>50</v>
      </c>
      <c r="F77" s="16" t="s">
        <v>526</v>
      </c>
      <c r="G77" s="16" t="s">
        <v>527</v>
      </c>
      <c r="H77" s="16" t="s">
        <v>634</v>
      </c>
      <c r="I77" s="16" t="s">
        <v>61</v>
      </c>
      <c r="J77" s="17" t="s">
        <v>635</v>
      </c>
      <c r="K77" s="16" t="s">
        <v>636</v>
      </c>
      <c r="L77" s="16" t="s">
        <v>53</v>
      </c>
      <c r="M77" s="16"/>
      <c r="N77" s="16"/>
      <c r="O77" s="16"/>
      <c r="P77" s="16"/>
      <c r="Q77" s="16"/>
    </row>
    <row r="78" spans="1:17" s="24" customFormat="1" x14ac:dyDescent="0.2">
      <c r="A78" s="16" t="s">
        <v>528</v>
      </c>
      <c r="B78" s="16" t="s">
        <v>529</v>
      </c>
      <c r="C78" s="16" t="s">
        <v>525</v>
      </c>
      <c r="D78" s="49" t="s">
        <v>49</v>
      </c>
      <c r="E78" s="16" t="s">
        <v>50</v>
      </c>
      <c r="F78" s="16" t="s">
        <v>530</v>
      </c>
      <c r="G78" s="16" t="s">
        <v>531</v>
      </c>
      <c r="H78" s="16" t="s">
        <v>532</v>
      </c>
      <c r="I78" s="16" t="s">
        <v>61</v>
      </c>
      <c r="J78" s="16" t="s">
        <v>637</v>
      </c>
      <c r="K78" s="16" t="s">
        <v>638</v>
      </c>
      <c r="L78" s="16" t="s">
        <v>53</v>
      </c>
      <c r="M78" s="16"/>
      <c r="N78" s="16"/>
      <c r="O78" s="16"/>
      <c r="P78" s="16"/>
      <c r="Q78" s="16"/>
    </row>
    <row r="79" spans="1:17" s="24" customFormat="1" x14ac:dyDescent="0.2">
      <c r="A79" s="16" t="s">
        <v>533</v>
      </c>
      <c r="B79" s="16" t="s">
        <v>534</v>
      </c>
      <c r="C79" s="16" t="s">
        <v>525</v>
      </c>
      <c r="D79" s="47" t="s">
        <v>75</v>
      </c>
      <c r="E79" s="16" t="s">
        <v>50</v>
      </c>
      <c r="F79" s="16" t="s">
        <v>535</v>
      </c>
      <c r="G79" s="16" t="s">
        <v>536</v>
      </c>
      <c r="H79" s="16" t="s">
        <v>537</v>
      </c>
      <c r="I79" s="16" t="s">
        <v>61</v>
      </c>
      <c r="J79" s="16" t="s">
        <v>639</v>
      </c>
      <c r="K79" s="16" t="s">
        <v>640</v>
      </c>
      <c r="L79" s="16" t="s">
        <v>53</v>
      </c>
      <c r="M79" s="16"/>
      <c r="N79" s="16"/>
      <c r="O79" s="16"/>
      <c r="P79" s="16"/>
      <c r="Q79" s="16"/>
    </row>
    <row r="80" spans="1:17" s="24" customFormat="1" x14ac:dyDescent="0.2">
      <c r="A80" s="16" t="s">
        <v>538</v>
      </c>
      <c r="B80" s="16" t="s">
        <v>539</v>
      </c>
      <c r="C80" s="16" t="s">
        <v>525</v>
      </c>
      <c r="D80" s="47" t="s">
        <v>75</v>
      </c>
      <c r="E80" s="16" t="s">
        <v>50</v>
      </c>
      <c r="F80" s="16" t="s">
        <v>540</v>
      </c>
      <c r="G80" s="16" t="s">
        <v>541</v>
      </c>
      <c r="H80" s="16" t="s">
        <v>542</v>
      </c>
      <c r="I80" s="16" t="s">
        <v>61</v>
      </c>
      <c r="J80" s="16" t="s">
        <v>641</v>
      </c>
      <c r="K80" s="16" t="s">
        <v>642</v>
      </c>
      <c r="L80" s="16" t="s">
        <v>53</v>
      </c>
      <c r="M80" s="16"/>
      <c r="N80" s="16"/>
      <c r="O80" s="16"/>
      <c r="P80" s="16"/>
      <c r="Q80" s="16"/>
    </row>
    <row r="81" spans="1:17" s="24" customFormat="1" x14ac:dyDescent="0.2">
      <c r="A81" s="16" t="s">
        <v>543</v>
      </c>
      <c r="B81" s="16" t="s">
        <v>544</v>
      </c>
      <c r="C81" s="16" t="s">
        <v>525</v>
      </c>
      <c r="D81" s="47" t="s">
        <v>75</v>
      </c>
      <c r="E81" s="16" t="s">
        <v>50</v>
      </c>
      <c r="F81" s="16" t="s">
        <v>545</v>
      </c>
      <c r="G81" s="16" t="s">
        <v>546</v>
      </c>
      <c r="H81" s="16" t="s">
        <v>547</v>
      </c>
      <c r="I81" s="16" t="s">
        <v>61</v>
      </c>
      <c r="J81" s="16" t="s">
        <v>643</v>
      </c>
      <c r="K81" s="16" t="s">
        <v>644</v>
      </c>
      <c r="L81" s="16" t="s">
        <v>53</v>
      </c>
      <c r="M81" s="16"/>
      <c r="N81" s="16"/>
      <c r="O81" s="16"/>
      <c r="P81" s="16"/>
      <c r="Q81" s="16"/>
    </row>
    <row r="82" spans="1:17" s="24" customFormat="1" x14ac:dyDescent="0.2">
      <c r="A82" s="16" t="s">
        <v>548</v>
      </c>
      <c r="B82" s="16" t="s">
        <v>549</v>
      </c>
      <c r="C82" s="16" t="s">
        <v>525</v>
      </c>
      <c r="D82" s="49" t="s">
        <v>49</v>
      </c>
      <c r="E82" s="16" t="s">
        <v>50</v>
      </c>
      <c r="F82" s="16" t="s">
        <v>550</v>
      </c>
      <c r="G82" s="16" t="s">
        <v>551</v>
      </c>
      <c r="H82" s="16" t="s">
        <v>552</v>
      </c>
      <c r="I82" s="16" t="s">
        <v>553</v>
      </c>
      <c r="J82" s="16" t="s">
        <v>645</v>
      </c>
      <c r="K82" s="16" t="s">
        <v>646</v>
      </c>
      <c r="L82" s="16" t="s">
        <v>53</v>
      </c>
      <c r="M82" s="16"/>
      <c r="N82" s="16"/>
      <c r="O82" s="16"/>
      <c r="P82" s="16"/>
      <c r="Q82" s="16"/>
    </row>
    <row r="83" spans="1:17" s="24" customFormat="1" x14ac:dyDescent="0.2">
      <c r="A83" s="16" t="s">
        <v>554</v>
      </c>
      <c r="B83" s="16" t="s">
        <v>555</v>
      </c>
      <c r="C83" s="16" t="s">
        <v>525</v>
      </c>
      <c r="D83" s="49" t="s">
        <v>49</v>
      </c>
      <c r="E83" s="16" t="s">
        <v>50</v>
      </c>
      <c r="F83" s="16" t="s">
        <v>556</v>
      </c>
      <c r="G83" s="16" t="s">
        <v>557</v>
      </c>
      <c r="H83" s="16" t="s">
        <v>558</v>
      </c>
      <c r="I83" s="16" t="s">
        <v>61</v>
      </c>
      <c r="J83" s="16" t="s">
        <v>647</v>
      </c>
      <c r="K83" s="16" t="s">
        <v>648</v>
      </c>
      <c r="L83" s="16" t="s">
        <v>53</v>
      </c>
      <c r="M83" s="16"/>
      <c r="N83" s="16"/>
      <c r="O83" s="16"/>
      <c r="P83" s="16"/>
      <c r="Q83" s="16"/>
    </row>
    <row r="84" spans="1:17" s="24" customFormat="1" x14ac:dyDescent="0.2">
      <c r="A84" s="16" t="s">
        <v>559</v>
      </c>
      <c r="B84" s="16" t="s">
        <v>560</v>
      </c>
      <c r="C84" s="16" t="s">
        <v>525</v>
      </c>
      <c r="D84" s="47" t="s">
        <v>75</v>
      </c>
      <c r="E84" s="16" t="s">
        <v>50</v>
      </c>
      <c r="F84" s="16" t="s">
        <v>561</v>
      </c>
      <c r="G84" s="16" t="s">
        <v>562</v>
      </c>
      <c r="H84" s="16" t="s">
        <v>563</v>
      </c>
      <c r="I84" s="16" t="s">
        <v>61</v>
      </c>
      <c r="J84" s="16" t="s">
        <v>649</v>
      </c>
      <c r="K84" s="16" t="s">
        <v>650</v>
      </c>
      <c r="L84" s="16" t="s">
        <v>53</v>
      </c>
      <c r="M84" s="16"/>
      <c r="N84" s="16"/>
      <c r="O84" s="16"/>
      <c r="P84" s="16"/>
      <c r="Q84" s="16"/>
    </row>
    <row r="85" spans="1:17" s="24" customFormat="1" x14ac:dyDescent="0.2">
      <c r="A85" s="16" t="s">
        <v>564</v>
      </c>
      <c r="B85" s="16" t="s">
        <v>565</v>
      </c>
      <c r="C85" s="16" t="s">
        <v>525</v>
      </c>
      <c r="D85" s="49" t="s">
        <v>49</v>
      </c>
      <c r="E85" s="16" t="s">
        <v>50</v>
      </c>
      <c r="F85" s="16" t="s">
        <v>566</v>
      </c>
      <c r="G85" s="16" t="s">
        <v>567</v>
      </c>
      <c r="H85" s="16" t="s">
        <v>568</v>
      </c>
      <c r="I85" s="16" t="s">
        <v>61</v>
      </c>
      <c r="J85" s="16" t="s">
        <v>651</v>
      </c>
      <c r="K85" s="16" t="s">
        <v>652</v>
      </c>
      <c r="L85" s="16" t="s">
        <v>53</v>
      </c>
      <c r="M85" s="16"/>
      <c r="N85" s="16"/>
      <c r="O85" s="16"/>
      <c r="P85" s="16"/>
      <c r="Q85" s="16"/>
    </row>
    <row r="86" spans="1:17" s="24" customFormat="1" x14ac:dyDescent="0.2">
      <c r="A86" s="16" t="s">
        <v>569</v>
      </c>
      <c r="B86" s="16" t="s">
        <v>570</v>
      </c>
      <c r="C86" s="16" t="s">
        <v>525</v>
      </c>
      <c r="D86" s="49" t="s">
        <v>49</v>
      </c>
      <c r="E86" s="16" t="s">
        <v>50</v>
      </c>
      <c r="F86" s="16" t="s">
        <v>566</v>
      </c>
      <c r="G86" s="16" t="s">
        <v>571</v>
      </c>
      <c r="H86" s="16" t="s">
        <v>572</v>
      </c>
      <c r="I86" s="16" t="s">
        <v>61</v>
      </c>
      <c r="J86" s="16" t="s">
        <v>653</v>
      </c>
      <c r="K86" s="16" t="s">
        <v>654</v>
      </c>
      <c r="L86" s="16" t="s">
        <v>53</v>
      </c>
      <c r="M86" s="16"/>
      <c r="N86" s="16"/>
      <c r="O86" s="16"/>
      <c r="P86" s="16"/>
      <c r="Q86" s="16"/>
    </row>
    <row r="87" spans="1:17" s="24" customFormat="1" x14ac:dyDescent="0.2">
      <c r="A87" s="16" t="s">
        <v>573</v>
      </c>
      <c r="B87" s="16" t="s">
        <v>574</v>
      </c>
      <c r="C87" s="16" t="s">
        <v>525</v>
      </c>
      <c r="D87" s="55" t="s">
        <v>100</v>
      </c>
      <c r="E87" s="16" t="s">
        <v>50</v>
      </c>
      <c r="F87" s="16" t="s">
        <v>575</v>
      </c>
      <c r="G87" s="16" t="s">
        <v>576</v>
      </c>
      <c r="H87" s="16" t="s">
        <v>577</v>
      </c>
      <c r="I87" s="16" t="s">
        <v>578</v>
      </c>
      <c r="J87" s="16" t="s">
        <v>655</v>
      </c>
      <c r="K87" s="16" t="s">
        <v>656</v>
      </c>
      <c r="L87" s="16" t="s">
        <v>53</v>
      </c>
      <c r="M87" s="16"/>
      <c r="N87" s="16"/>
      <c r="O87" s="16"/>
      <c r="P87" s="16"/>
      <c r="Q87" s="16"/>
    </row>
    <row r="88" spans="1:17" s="24" customFormat="1" x14ac:dyDescent="0.2">
      <c r="A88" s="16" t="s">
        <v>579</v>
      </c>
      <c r="B88" s="16" t="s">
        <v>580</v>
      </c>
      <c r="C88" s="16" t="s">
        <v>525</v>
      </c>
      <c r="D88" s="55" t="s">
        <v>100</v>
      </c>
      <c r="E88" s="16" t="s">
        <v>50</v>
      </c>
      <c r="F88" s="16" t="s">
        <v>581</v>
      </c>
      <c r="G88" s="16" t="s">
        <v>582</v>
      </c>
      <c r="H88" s="16" t="s">
        <v>657</v>
      </c>
      <c r="I88" s="16" t="s">
        <v>583</v>
      </c>
      <c r="J88" s="16" t="s">
        <v>658</v>
      </c>
      <c r="K88" s="16" t="s">
        <v>659</v>
      </c>
      <c r="L88" s="16" t="s">
        <v>53</v>
      </c>
      <c r="M88" s="16"/>
      <c r="N88" s="16"/>
      <c r="O88" s="16"/>
      <c r="P88" s="16"/>
      <c r="Q88" s="16"/>
    </row>
    <row r="89" spans="1:17" s="24" customFormat="1" x14ac:dyDescent="0.2">
      <c r="A89" s="16" t="s">
        <v>584</v>
      </c>
      <c r="B89" s="16" t="s">
        <v>585</v>
      </c>
      <c r="C89" s="16" t="s">
        <v>525</v>
      </c>
      <c r="D89" s="55" t="s">
        <v>100</v>
      </c>
      <c r="E89" s="16" t="s">
        <v>50</v>
      </c>
      <c r="F89" s="16" t="s">
        <v>581</v>
      </c>
      <c r="G89" s="16" t="s">
        <v>586</v>
      </c>
      <c r="H89" s="16" t="s">
        <v>552</v>
      </c>
      <c r="I89" s="16" t="s">
        <v>587</v>
      </c>
      <c r="J89" s="16" t="s">
        <v>660</v>
      </c>
      <c r="K89" s="16" t="s">
        <v>661</v>
      </c>
      <c r="L89" s="16" t="s">
        <v>53</v>
      </c>
      <c r="M89" s="16"/>
      <c r="N89" s="16"/>
      <c r="O89" s="16"/>
      <c r="P89" s="16"/>
      <c r="Q89" s="16"/>
    </row>
    <row r="90" spans="1:17" s="24" customFormat="1" x14ac:dyDescent="0.2">
      <c r="A90" s="16" t="s">
        <v>588</v>
      </c>
      <c r="B90" s="16" t="s">
        <v>589</v>
      </c>
      <c r="C90" s="16" t="s">
        <v>525</v>
      </c>
      <c r="D90" s="55" t="s">
        <v>100</v>
      </c>
      <c r="E90" s="16" t="s">
        <v>50</v>
      </c>
      <c r="F90" s="16" t="s">
        <v>581</v>
      </c>
      <c r="G90" s="16" t="s">
        <v>590</v>
      </c>
      <c r="H90" s="16" t="s">
        <v>552</v>
      </c>
      <c r="I90" s="16" t="s">
        <v>591</v>
      </c>
      <c r="J90" s="16" t="s">
        <v>662</v>
      </c>
      <c r="K90" s="16" t="s">
        <v>663</v>
      </c>
      <c r="L90" s="16" t="s">
        <v>53</v>
      </c>
      <c r="M90" s="16"/>
      <c r="N90" s="16"/>
      <c r="O90" s="16"/>
      <c r="P90" s="16"/>
      <c r="Q90" s="16"/>
    </row>
    <row r="91" spans="1:17" s="24" customFormat="1" x14ac:dyDescent="0.2">
      <c r="A91" s="16" t="s">
        <v>592</v>
      </c>
      <c r="B91" s="16" t="s">
        <v>593</v>
      </c>
      <c r="C91" s="16" t="s">
        <v>525</v>
      </c>
      <c r="D91" s="55" t="s">
        <v>100</v>
      </c>
      <c r="E91" s="16" t="s">
        <v>50</v>
      </c>
      <c r="F91" s="16" t="s">
        <v>594</v>
      </c>
      <c r="G91" s="16" t="s">
        <v>595</v>
      </c>
      <c r="H91" s="16" t="s">
        <v>664</v>
      </c>
      <c r="I91" s="16" t="s">
        <v>596</v>
      </c>
      <c r="J91" s="16" t="s">
        <v>665</v>
      </c>
      <c r="K91" s="16" t="s">
        <v>666</v>
      </c>
      <c r="L91" s="16" t="s">
        <v>53</v>
      </c>
      <c r="M91" s="16"/>
      <c r="N91" s="16"/>
      <c r="O91" s="16"/>
      <c r="P91" s="16"/>
      <c r="Q91" s="16"/>
    </row>
    <row r="92" spans="1:17" s="24" customFormat="1" x14ac:dyDescent="0.2">
      <c r="A92" s="16" t="s">
        <v>597</v>
      </c>
      <c r="B92" s="16" t="s">
        <v>598</v>
      </c>
      <c r="C92" s="16" t="s">
        <v>525</v>
      </c>
      <c r="D92" s="55" t="s">
        <v>100</v>
      </c>
      <c r="E92" s="16" t="s">
        <v>50</v>
      </c>
      <c r="F92" s="16" t="s">
        <v>594</v>
      </c>
      <c r="G92" s="16" t="s">
        <v>599</v>
      </c>
      <c r="H92" s="16" t="s">
        <v>600</v>
      </c>
      <c r="I92" s="16" t="s">
        <v>601</v>
      </c>
      <c r="J92" s="16" t="s">
        <v>667</v>
      </c>
      <c r="K92" s="16" t="s">
        <v>668</v>
      </c>
      <c r="L92" s="16" t="s">
        <v>53</v>
      </c>
      <c r="M92" s="16"/>
      <c r="N92" s="16"/>
      <c r="O92" s="16"/>
      <c r="P92" s="16"/>
      <c r="Q92" s="16"/>
    </row>
    <row r="93" spans="1:17" s="24" customFormat="1" x14ac:dyDescent="0.2">
      <c r="A93" s="16" t="s">
        <v>602</v>
      </c>
      <c r="B93" s="16" t="s">
        <v>603</v>
      </c>
      <c r="C93" s="16" t="s">
        <v>525</v>
      </c>
      <c r="D93" s="55" t="s">
        <v>100</v>
      </c>
      <c r="E93" s="16" t="s">
        <v>50</v>
      </c>
      <c r="F93" s="16" t="s">
        <v>604</v>
      </c>
      <c r="G93" s="16" t="s">
        <v>605</v>
      </c>
      <c r="H93" s="16" t="s">
        <v>606</v>
      </c>
      <c r="I93" s="16" t="s">
        <v>61</v>
      </c>
      <c r="J93" s="16" t="s">
        <v>669</v>
      </c>
      <c r="K93" s="16" t="s">
        <v>670</v>
      </c>
      <c r="L93" s="16" t="s">
        <v>53</v>
      </c>
      <c r="M93" s="16"/>
      <c r="N93" s="16"/>
      <c r="O93" s="16"/>
      <c r="P93" s="16"/>
      <c r="Q93" s="16"/>
    </row>
    <row r="94" spans="1:17" s="24" customFormat="1" x14ac:dyDescent="0.2">
      <c r="A94" s="16" t="s">
        <v>607</v>
      </c>
      <c r="B94" s="16" t="s">
        <v>608</v>
      </c>
      <c r="C94" s="16" t="s">
        <v>525</v>
      </c>
      <c r="D94" s="49" t="s">
        <v>49</v>
      </c>
      <c r="E94" s="16" t="s">
        <v>50</v>
      </c>
      <c r="F94" s="16" t="s">
        <v>609</v>
      </c>
      <c r="G94" s="16" t="s">
        <v>610</v>
      </c>
      <c r="H94" s="16" t="s">
        <v>671</v>
      </c>
      <c r="I94" s="16" t="s">
        <v>611</v>
      </c>
      <c r="J94" s="16" t="s">
        <v>672</v>
      </c>
      <c r="K94" s="16" t="s">
        <v>673</v>
      </c>
      <c r="L94" s="16" t="s">
        <v>53</v>
      </c>
      <c r="M94" s="16"/>
      <c r="N94" s="16"/>
      <c r="O94" s="16"/>
      <c r="P94" s="16"/>
      <c r="Q94" s="16"/>
    </row>
    <row r="95" spans="1:17" s="24" customFormat="1" x14ac:dyDescent="0.2">
      <c r="A95" s="16" t="s">
        <v>612</v>
      </c>
      <c r="B95" s="16" t="s">
        <v>613</v>
      </c>
      <c r="C95" s="16" t="s">
        <v>525</v>
      </c>
      <c r="D95" s="49" t="s">
        <v>49</v>
      </c>
      <c r="E95" s="16" t="s">
        <v>50</v>
      </c>
      <c r="F95" s="16" t="s">
        <v>614</v>
      </c>
      <c r="G95" s="16" t="s">
        <v>615</v>
      </c>
      <c r="H95" s="16" t="s">
        <v>616</v>
      </c>
      <c r="I95" s="16" t="s">
        <v>617</v>
      </c>
      <c r="J95" s="16" t="s">
        <v>674</v>
      </c>
      <c r="K95" s="16" t="s">
        <v>675</v>
      </c>
      <c r="L95" s="16" t="s">
        <v>53</v>
      </c>
      <c r="M95" s="16"/>
      <c r="N95" s="16"/>
      <c r="O95" s="16"/>
      <c r="P95" s="16"/>
      <c r="Q95" s="16"/>
    </row>
    <row r="96" spans="1:17" s="24" customFormat="1" x14ac:dyDescent="0.2">
      <c r="A96" s="16" t="s">
        <v>618</v>
      </c>
      <c r="B96" s="16" t="s">
        <v>619</v>
      </c>
      <c r="C96" s="16" t="s">
        <v>525</v>
      </c>
      <c r="D96" s="47" t="s">
        <v>75</v>
      </c>
      <c r="E96" s="16" t="s">
        <v>50</v>
      </c>
      <c r="F96" s="16" t="s">
        <v>620</v>
      </c>
      <c r="G96" s="16" t="s">
        <v>621</v>
      </c>
      <c r="H96" s="16" t="s">
        <v>622</v>
      </c>
      <c r="I96" s="16" t="s">
        <v>61</v>
      </c>
      <c r="J96" s="16" t="s">
        <v>676</v>
      </c>
      <c r="K96" s="16" t="s">
        <v>677</v>
      </c>
      <c r="L96" s="16" t="s">
        <v>53</v>
      </c>
      <c r="M96" s="16"/>
      <c r="N96" s="16"/>
      <c r="O96" s="16"/>
      <c r="P96" s="16"/>
      <c r="Q96" s="16"/>
    </row>
    <row r="97" spans="1:17" s="24" customFormat="1" x14ac:dyDescent="0.2">
      <c r="A97" s="16" t="s">
        <v>623</v>
      </c>
      <c r="B97" s="16" t="s">
        <v>624</v>
      </c>
      <c r="C97" s="16" t="s">
        <v>525</v>
      </c>
      <c r="D97" s="55" t="s">
        <v>100</v>
      </c>
      <c r="E97" s="16" t="s">
        <v>50</v>
      </c>
      <c r="F97" s="16" t="s">
        <v>625</v>
      </c>
      <c r="G97" s="16" t="s">
        <v>626</v>
      </c>
      <c r="H97" s="16" t="s">
        <v>627</v>
      </c>
      <c r="I97" s="16" t="s">
        <v>61</v>
      </c>
      <c r="J97" s="16" t="s">
        <v>678</v>
      </c>
      <c r="K97" s="16" t="s">
        <v>679</v>
      </c>
      <c r="L97" s="16" t="s">
        <v>53</v>
      </c>
      <c r="M97" s="16"/>
      <c r="N97" s="16"/>
      <c r="O97" s="16"/>
      <c r="P97" s="16"/>
      <c r="Q97" s="16"/>
    </row>
    <row r="98" spans="1:17" x14ac:dyDescent="0.2">
      <c r="A98" s="16" t="s">
        <v>628</v>
      </c>
      <c r="B98" s="16" t="s">
        <v>629</v>
      </c>
      <c r="C98" s="16" t="s">
        <v>525</v>
      </c>
      <c r="D98" s="47" t="s">
        <v>75</v>
      </c>
      <c r="E98" s="16" t="s">
        <v>50</v>
      </c>
      <c r="F98" s="16" t="s">
        <v>630</v>
      </c>
      <c r="G98" s="16" t="s">
        <v>631</v>
      </c>
      <c r="H98" s="16" t="s">
        <v>632</v>
      </c>
      <c r="I98" s="16" t="s">
        <v>633</v>
      </c>
      <c r="J98" s="16" t="s">
        <v>680</v>
      </c>
      <c r="K98" s="16" t="s">
        <v>681</v>
      </c>
      <c r="L98" s="16" t="s">
        <v>53</v>
      </c>
      <c r="M98" s="16"/>
      <c r="N98" s="16"/>
      <c r="O98" s="16"/>
      <c r="P98" s="16"/>
      <c r="Q98" s="16"/>
    </row>
    <row r="99" spans="1:17" x14ac:dyDescent="0.2">
      <c r="A99" s="16" t="s">
        <v>682</v>
      </c>
      <c r="B99" s="16" t="s">
        <v>683</v>
      </c>
      <c r="C99" s="16" t="s">
        <v>684</v>
      </c>
      <c r="D99" s="49" t="s">
        <v>49</v>
      </c>
      <c r="E99" s="16" t="s">
        <v>50</v>
      </c>
      <c r="F99" s="16" t="s">
        <v>685</v>
      </c>
      <c r="G99" s="16" t="s">
        <v>686</v>
      </c>
      <c r="H99" s="16" t="s">
        <v>687</v>
      </c>
      <c r="I99" s="16" t="s">
        <v>61</v>
      </c>
      <c r="J99" s="16" t="s">
        <v>767</v>
      </c>
      <c r="K99" s="16" t="s">
        <v>768</v>
      </c>
      <c r="L99" s="16" t="s">
        <v>53</v>
      </c>
      <c r="M99" s="16"/>
      <c r="N99" s="16"/>
      <c r="O99" s="16"/>
      <c r="P99" s="16"/>
      <c r="Q99" s="16"/>
    </row>
    <row r="100" spans="1:17" x14ac:dyDescent="0.2">
      <c r="A100" s="16" t="s">
        <v>688</v>
      </c>
      <c r="B100" s="16" t="s">
        <v>689</v>
      </c>
      <c r="C100" s="16" t="s">
        <v>684</v>
      </c>
      <c r="D100" s="49" t="s">
        <v>49</v>
      </c>
      <c r="E100" s="16" t="s">
        <v>50</v>
      </c>
      <c r="F100" s="16" t="s">
        <v>690</v>
      </c>
      <c r="G100" s="16" t="s">
        <v>691</v>
      </c>
      <c r="H100" s="16" t="s">
        <v>692</v>
      </c>
      <c r="I100" s="16" t="s">
        <v>693</v>
      </c>
      <c r="J100" s="16" t="s">
        <v>769</v>
      </c>
      <c r="K100" s="16" t="s">
        <v>770</v>
      </c>
      <c r="L100" s="16" t="s">
        <v>53</v>
      </c>
      <c r="M100" s="16"/>
      <c r="N100" s="16"/>
      <c r="O100" s="16"/>
      <c r="P100" s="16"/>
      <c r="Q100" s="16"/>
    </row>
    <row r="101" spans="1:17" x14ac:dyDescent="0.2">
      <c r="A101" s="16" t="s">
        <v>694</v>
      </c>
      <c r="B101" s="16" t="s">
        <v>695</v>
      </c>
      <c r="C101" s="16" t="s">
        <v>684</v>
      </c>
      <c r="D101" s="49" t="s">
        <v>49</v>
      </c>
      <c r="E101" s="16" t="s">
        <v>50</v>
      </c>
      <c r="F101" s="16" t="s">
        <v>696</v>
      </c>
      <c r="G101" s="16" t="s">
        <v>697</v>
      </c>
      <c r="H101" s="16" t="s">
        <v>698</v>
      </c>
      <c r="I101" s="16" t="s">
        <v>699</v>
      </c>
      <c r="J101" s="16" t="s">
        <v>771</v>
      </c>
      <c r="K101" s="16" t="s">
        <v>772</v>
      </c>
      <c r="L101" s="16" t="s">
        <v>53</v>
      </c>
      <c r="M101" s="16"/>
      <c r="N101" s="16"/>
      <c r="O101" s="16"/>
      <c r="P101" s="16"/>
      <c r="Q101" s="16"/>
    </row>
    <row r="102" spans="1:17" x14ac:dyDescent="0.2">
      <c r="A102" s="16" t="s">
        <v>700</v>
      </c>
      <c r="B102" s="16" t="s">
        <v>701</v>
      </c>
      <c r="C102" s="16" t="s">
        <v>684</v>
      </c>
      <c r="D102" s="47" t="s">
        <v>75</v>
      </c>
      <c r="E102" s="16" t="s">
        <v>50</v>
      </c>
      <c r="F102" s="16" t="s">
        <v>702</v>
      </c>
      <c r="G102" s="16" t="s">
        <v>703</v>
      </c>
      <c r="H102" s="16" t="s">
        <v>704</v>
      </c>
      <c r="I102" s="16" t="s">
        <v>705</v>
      </c>
      <c r="J102" s="16" t="s">
        <v>773</v>
      </c>
      <c r="K102" s="16" t="s">
        <v>774</v>
      </c>
      <c r="L102" s="16" t="s">
        <v>53</v>
      </c>
      <c r="M102" s="16"/>
      <c r="N102" s="16"/>
      <c r="O102" s="16"/>
      <c r="P102" s="16"/>
      <c r="Q102" s="16"/>
    </row>
    <row r="103" spans="1:17" x14ac:dyDescent="0.2">
      <c r="A103" s="16" t="s">
        <v>706</v>
      </c>
      <c r="B103" s="16" t="s">
        <v>4</v>
      </c>
      <c r="C103" s="16" t="s">
        <v>684</v>
      </c>
      <c r="D103" s="47" t="s">
        <v>75</v>
      </c>
      <c r="E103" s="16" t="s">
        <v>50</v>
      </c>
      <c r="F103" s="16" t="s">
        <v>707</v>
      </c>
      <c r="G103" s="16" t="s">
        <v>708</v>
      </c>
      <c r="H103" s="16" t="s">
        <v>709</v>
      </c>
      <c r="I103" s="16" t="s">
        <v>710</v>
      </c>
      <c r="J103" s="16" t="s">
        <v>775</v>
      </c>
      <c r="K103" s="16" t="s">
        <v>776</v>
      </c>
      <c r="L103" s="16" t="s">
        <v>53</v>
      </c>
      <c r="M103" s="16"/>
      <c r="N103" s="16"/>
      <c r="O103" s="16"/>
      <c r="P103" s="16"/>
      <c r="Q103" s="16"/>
    </row>
    <row r="104" spans="1:17" x14ac:dyDescent="0.2">
      <c r="A104" s="16" t="s">
        <v>711</v>
      </c>
      <c r="B104" s="16" t="s">
        <v>712</v>
      </c>
      <c r="C104" s="16" t="s">
        <v>684</v>
      </c>
      <c r="D104" s="55" t="s">
        <v>100</v>
      </c>
      <c r="E104" s="16" t="s">
        <v>50</v>
      </c>
      <c r="F104" s="16" t="s">
        <v>713</v>
      </c>
      <c r="G104" s="16" t="s">
        <v>714</v>
      </c>
      <c r="H104" s="16" t="s">
        <v>709</v>
      </c>
      <c r="I104" s="16" t="s">
        <v>715</v>
      </c>
      <c r="J104" s="16" t="s">
        <v>777</v>
      </c>
      <c r="K104" s="16" t="s">
        <v>778</v>
      </c>
      <c r="L104" s="16" t="s">
        <v>53</v>
      </c>
      <c r="M104" s="16"/>
      <c r="N104" s="16"/>
      <c r="O104" s="16"/>
      <c r="P104" s="16"/>
      <c r="Q104" s="16"/>
    </row>
    <row r="105" spans="1:17" x14ac:dyDescent="0.2">
      <c r="A105" s="16" t="s">
        <v>716</v>
      </c>
      <c r="B105" s="16" t="s">
        <v>717</v>
      </c>
      <c r="C105" s="16" t="s">
        <v>684</v>
      </c>
      <c r="D105" s="55" t="s">
        <v>100</v>
      </c>
      <c r="E105" s="16" t="s">
        <v>64</v>
      </c>
      <c r="F105" s="16" t="s">
        <v>61</v>
      </c>
      <c r="G105" s="16" t="s">
        <v>718</v>
      </c>
      <c r="H105" s="16" t="s">
        <v>709</v>
      </c>
      <c r="I105" s="16" t="s">
        <v>719</v>
      </c>
      <c r="J105" s="16" t="s">
        <v>779</v>
      </c>
      <c r="K105" s="16" t="s">
        <v>780</v>
      </c>
      <c r="L105" s="16" t="s">
        <v>53</v>
      </c>
      <c r="M105" s="16"/>
      <c r="N105" s="16"/>
      <c r="O105" s="16"/>
      <c r="P105" s="16"/>
      <c r="Q105" s="16"/>
    </row>
    <row r="106" spans="1:17" x14ac:dyDescent="0.2">
      <c r="A106" s="16" t="s">
        <v>720</v>
      </c>
      <c r="B106" s="16" t="s">
        <v>721</v>
      </c>
      <c r="C106" s="16" t="s">
        <v>684</v>
      </c>
      <c r="D106" s="55" t="s">
        <v>100</v>
      </c>
      <c r="E106" s="16" t="s">
        <v>50</v>
      </c>
      <c r="F106" s="16" t="s">
        <v>61</v>
      </c>
      <c r="G106" s="16" t="s">
        <v>722</v>
      </c>
      <c r="H106" s="16" t="s">
        <v>709</v>
      </c>
      <c r="I106" s="16" t="s">
        <v>723</v>
      </c>
      <c r="J106" s="16" t="s">
        <v>781</v>
      </c>
      <c r="K106" s="16" t="s">
        <v>782</v>
      </c>
      <c r="L106" s="16" t="s">
        <v>53</v>
      </c>
      <c r="M106" s="16"/>
      <c r="N106" s="16"/>
      <c r="O106" s="16"/>
      <c r="P106" s="16"/>
      <c r="Q106" s="16"/>
    </row>
    <row r="107" spans="1:17" x14ac:dyDescent="0.2">
      <c r="A107" s="16" t="s">
        <v>724</v>
      </c>
      <c r="B107" s="16" t="s">
        <v>725</v>
      </c>
      <c r="C107" s="16" t="s">
        <v>726</v>
      </c>
      <c r="D107" s="47" t="s">
        <v>75</v>
      </c>
      <c r="E107" s="16" t="s">
        <v>50</v>
      </c>
      <c r="F107" s="16" t="s">
        <v>727</v>
      </c>
      <c r="G107" s="16" t="s">
        <v>728</v>
      </c>
      <c r="H107" s="16" t="s">
        <v>783</v>
      </c>
      <c r="I107" s="16" t="s">
        <v>784</v>
      </c>
      <c r="J107" s="16" t="s">
        <v>785</v>
      </c>
      <c r="K107" s="16" t="s">
        <v>786</v>
      </c>
      <c r="L107" s="16" t="s">
        <v>53</v>
      </c>
      <c r="M107" s="16"/>
      <c r="N107" s="16"/>
      <c r="O107" s="16"/>
      <c r="P107" s="16"/>
      <c r="Q107" s="16"/>
    </row>
    <row r="108" spans="1:17" x14ac:dyDescent="0.2">
      <c r="A108" s="16" t="s">
        <v>729</v>
      </c>
      <c r="B108" s="16" t="s">
        <v>730</v>
      </c>
      <c r="C108" s="16" t="s">
        <v>726</v>
      </c>
      <c r="D108" s="47" t="s">
        <v>75</v>
      </c>
      <c r="E108" s="16" t="s">
        <v>50</v>
      </c>
      <c r="F108" s="16" t="s">
        <v>731</v>
      </c>
      <c r="G108" s="16" t="s">
        <v>732</v>
      </c>
      <c r="H108" s="16" t="s">
        <v>733</v>
      </c>
      <c r="I108" s="16" t="s">
        <v>734</v>
      </c>
      <c r="J108" s="16" t="s">
        <v>787</v>
      </c>
      <c r="K108" s="16" t="s">
        <v>788</v>
      </c>
      <c r="L108" s="16" t="s">
        <v>53</v>
      </c>
      <c r="M108" s="16"/>
      <c r="N108" s="16"/>
      <c r="O108" s="16"/>
      <c r="P108" s="16"/>
      <c r="Q108" s="16"/>
    </row>
    <row r="109" spans="1:17" x14ac:dyDescent="0.2">
      <c r="A109" s="16" t="s">
        <v>735</v>
      </c>
      <c r="B109" s="16" t="s">
        <v>736</v>
      </c>
      <c r="C109" s="16" t="s">
        <v>726</v>
      </c>
      <c r="D109" s="47" t="s">
        <v>75</v>
      </c>
      <c r="E109" s="16" t="s">
        <v>50</v>
      </c>
      <c r="F109" s="16" t="s">
        <v>737</v>
      </c>
      <c r="G109" s="16" t="s">
        <v>738</v>
      </c>
      <c r="H109" s="16" t="s">
        <v>739</v>
      </c>
      <c r="I109" s="16" t="s">
        <v>740</v>
      </c>
      <c r="J109" s="16" t="s">
        <v>789</v>
      </c>
      <c r="K109" s="16" t="s">
        <v>790</v>
      </c>
      <c r="L109" s="16" t="s">
        <v>53</v>
      </c>
      <c r="M109" s="16"/>
      <c r="N109" s="16"/>
      <c r="O109" s="16"/>
      <c r="P109" s="16"/>
      <c r="Q109" s="16"/>
    </row>
    <row r="110" spans="1:17" x14ac:dyDescent="0.2">
      <c r="A110" s="16" t="s">
        <v>741</v>
      </c>
      <c r="B110" s="16" t="s">
        <v>742</v>
      </c>
      <c r="C110" s="16" t="s">
        <v>726</v>
      </c>
      <c r="D110" s="55" t="s">
        <v>100</v>
      </c>
      <c r="E110" s="16" t="s">
        <v>50</v>
      </c>
      <c r="F110" s="16" t="s">
        <v>743</v>
      </c>
      <c r="G110" s="16" t="s">
        <v>744</v>
      </c>
      <c r="H110" s="16" t="s">
        <v>745</v>
      </c>
      <c r="I110" s="16" t="s">
        <v>746</v>
      </c>
      <c r="J110" s="16" t="s">
        <v>791</v>
      </c>
      <c r="K110" s="16" t="s">
        <v>792</v>
      </c>
      <c r="L110" s="16" t="s">
        <v>53</v>
      </c>
      <c r="M110" s="16"/>
      <c r="N110" s="16"/>
      <c r="O110" s="16"/>
      <c r="P110" s="16"/>
      <c r="Q110" s="16"/>
    </row>
    <row r="111" spans="1:17" x14ac:dyDescent="0.2">
      <c r="A111" s="16" t="s">
        <v>747</v>
      </c>
      <c r="B111" s="16" t="s">
        <v>748</v>
      </c>
      <c r="C111" s="16" t="s">
        <v>726</v>
      </c>
      <c r="D111" s="47" t="s">
        <v>75</v>
      </c>
      <c r="E111" s="16" t="s">
        <v>50</v>
      </c>
      <c r="F111" s="16" t="s">
        <v>749</v>
      </c>
      <c r="G111" s="16" t="s">
        <v>750</v>
      </c>
      <c r="H111" s="16" t="s">
        <v>751</v>
      </c>
      <c r="I111" s="16" t="s">
        <v>752</v>
      </c>
      <c r="J111" s="16" t="s">
        <v>793</v>
      </c>
      <c r="K111" s="16" t="s">
        <v>794</v>
      </c>
      <c r="L111" s="16" t="s">
        <v>53</v>
      </c>
      <c r="M111" s="16"/>
      <c r="N111" s="16"/>
      <c r="O111" s="16"/>
      <c r="P111" s="16"/>
      <c r="Q111" s="16"/>
    </row>
    <row r="112" spans="1:17" x14ac:dyDescent="0.2">
      <c r="A112" s="16" t="s">
        <v>753</v>
      </c>
      <c r="B112" s="16" t="s">
        <v>754</v>
      </c>
      <c r="C112" s="16" t="s">
        <v>726</v>
      </c>
      <c r="D112" s="47" t="s">
        <v>75</v>
      </c>
      <c r="E112" s="16" t="s">
        <v>50</v>
      </c>
      <c r="F112" s="16" t="s">
        <v>755</v>
      </c>
      <c r="G112" s="16" t="s">
        <v>756</v>
      </c>
      <c r="H112" s="16" t="s">
        <v>757</v>
      </c>
      <c r="I112" s="16" t="s">
        <v>61</v>
      </c>
      <c r="J112" s="16" t="s">
        <v>795</v>
      </c>
      <c r="K112" s="16" t="s">
        <v>796</v>
      </c>
      <c r="L112" s="16" t="s">
        <v>53</v>
      </c>
      <c r="M112" s="16"/>
      <c r="N112" s="16"/>
      <c r="O112" s="16"/>
      <c r="P112" s="16"/>
      <c r="Q112" s="16"/>
    </row>
    <row r="113" spans="1:17" x14ac:dyDescent="0.2">
      <c r="A113" s="16" t="s">
        <v>758</v>
      </c>
      <c r="B113" s="16" t="s">
        <v>759</v>
      </c>
      <c r="C113" s="16" t="s">
        <v>726</v>
      </c>
      <c r="D113" s="47" t="s">
        <v>75</v>
      </c>
      <c r="E113" s="16" t="s">
        <v>50</v>
      </c>
      <c r="F113" s="16" t="s">
        <v>760</v>
      </c>
      <c r="G113" s="16" t="s">
        <v>761</v>
      </c>
      <c r="H113" s="16" t="s">
        <v>762</v>
      </c>
      <c r="I113" s="16" t="s">
        <v>61</v>
      </c>
      <c r="J113" s="16" t="s">
        <v>797</v>
      </c>
      <c r="K113" s="16" t="s">
        <v>798</v>
      </c>
      <c r="L113" s="16" t="s">
        <v>53</v>
      </c>
      <c r="M113" s="16"/>
      <c r="N113" s="16"/>
      <c r="O113" s="16"/>
      <c r="P113" s="16"/>
      <c r="Q113" s="16"/>
    </row>
    <row r="114" spans="1:17" x14ac:dyDescent="0.2">
      <c r="A114" s="16" t="s">
        <v>763</v>
      </c>
      <c r="B114" s="16" t="s">
        <v>764</v>
      </c>
      <c r="C114" s="16" t="s">
        <v>726</v>
      </c>
      <c r="D114" s="47" t="s">
        <v>75</v>
      </c>
      <c r="E114" s="16" t="s">
        <v>50</v>
      </c>
      <c r="F114" s="16" t="s">
        <v>61</v>
      </c>
      <c r="G114" s="16" t="s">
        <v>765</v>
      </c>
      <c r="H114" s="16" t="s">
        <v>766</v>
      </c>
      <c r="I114" s="16" t="s">
        <v>799</v>
      </c>
      <c r="J114" s="16" t="s">
        <v>800</v>
      </c>
      <c r="K114" s="16" t="s">
        <v>801</v>
      </c>
      <c r="L114" s="16" t="s">
        <v>53</v>
      </c>
      <c r="M114" s="16"/>
      <c r="N114" s="16"/>
      <c r="O114" s="16"/>
      <c r="P114" s="16"/>
      <c r="Q114" s="16"/>
    </row>
    <row r="115" spans="1:17" s="24" customFormat="1" x14ac:dyDescent="0.2">
      <c r="A115" s="18"/>
      <c r="B115" s="18"/>
      <c r="C115" s="18"/>
      <c r="D115" s="18"/>
      <c r="E115" s="18"/>
      <c r="F115" s="18"/>
      <c r="G115" s="18"/>
      <c r="H115" s="18"/>
      <c r="I115" s="18"/>
      <c r="J115" s="18"/>
      <c r="K115" s="18"/>
      <c r="L115" s="18"/>
      <c r="M115" s="18"/>
      <c r="N115" s="18"/>
      <c r="O115" s="18"/>
      <c r="P115" s="18"/>
      <c r="Q115" s="18"/>
    </row>
    <row r="116" spans="1:17" s="24" customFormat="1" ht="17.25" x14ac:dyDescent="0.2">
      <c r="A116" s="26"/>
      <c r="B116" s="23"/>
      <c r="C116" s="23"/>
      <c r="D116" s="23"/>
      <c r="E116" s="23"/>
      <c r="F116" s="23"/>
      <c r="G116" s="23"/>
      <c r="H116" s="23"/>
      <c r="I116" s="23"/>
      <c r="J116" s="23"/>
      <c r="K116" s="23"/>
      <c r="L116" s="23"/>
      <c r="M116" s="23"/>
      <c r="N116" s="23"/>
      <c r="O116" s="23"/>
      <c r="P116" s="23"/>
      <c r="Q116" s="23"/>
    </row>
    <row r="117" spans="1:17" s="24" customFormat="1" x14ac:dyDescent="0.2">
      <c r="B117" s="27"/>
    </row>
    <row r="118" spans="1:17" s="24" customFormat="1" x14ac:dyDescent="0.2">
      <c r="B118" s="27"/>
    </row>
    <row r="119" spans="1:17" s="24" customFormat="1" x14ac:dyDescent="0.2">
      <c r="B119" s="27"/>
    </row>
    <row r="120" spans="1:17" s="24" customFormat="1" x14ac:dyDescent="0.2">
      <c r="B120" s="27"/>
    </row>
    <row r="121" spans="1:17" s="24" customFormat="1" x14ac:dyDescent="0.2">
      <c r="B121" s="27"/>
    </row>
    <row r="122" spans="1:17" s="24" customFormat="1" x14ac:dyDescent="0.2">
      <c r="B122" s="27"/>
    </row>
    <row r="123" spans="1:17" s="24" customFormat="1" x14ac:dyDescent="0.2">
      <c r="B123" s="27"/>
    </row>
    <row r="124" spans="1:17" s="24" customFormat="1" x14ac:dyDescent="0.2">
      <c r="B124" s="27"/>
    </row>
    <row r="125" spans="1:17" s="24" customFormat="1" x14ac:dyDescent="0.2">
      <c r="B125" s="27"/>
    </row>
    <row r="126" spans="1:17" s="24" customFormat="1" x14ac:dyDescent="0.2">
      <c r="B126" s="27"/>
    </row>
    <row r="127" spans="1:17" s="24" customFormat="1" x14ac:dyDescent="0.2">
      <c r="B127" s="27"/>
    </row>
    <row r="128" spans="1:17" s="24" customFormat="1" x14ac:dyDescent="0.2">
      <c r="B128" s="27"/>
    </row>
    <row r="129" spans="2:2" s="24" customFormat="1" x14ac:dyDescent="0.2">
      <c r="B129" s="27"/>
    </row>
    <row r="130" spans="2:2" s="24" customFormat="1" x14ac:dyDescent="0.2">
      <c r="B130" s="27"/>
    </row>
    <row r="131" spans="2:2" s="24" customFormat="1" x14ac:dyDescent="0.2">
      <c r="B131" s="27"/>
    </row>
    <row r="132" spans="2:2" s="24" customFormat="1" x14ac:dyDescent="0.2">
      <c r="B132" s="27"/>
    </row>
    <row r="133" spans="2:2" s="24" customFormat="1" x14ac:dyDescent="0.2">
      <c r="B133" s="27"/>
    </row>
    <row r="134" spans="2:2" s="24" customFormat="1" x14ac:dyDescent="0.2">
      <c r="B134" s="27"/>
    </row>
    <row r="135" spans="2:2" s="24" customFormat="1" x14ac:dyDescent="0.2">
      <c r="B135" s="27"/>
    </row>
    <row r="136" spans="2:2" s="24" customFormat="1" x14ac:dyDescent="0.2">
      <c r="B136" s="27"/>
    </row>
    <row r="137" spans="2:2" s="24" customFormat="1" x14ac:dyDescent="0.2">
      <c r="B137" s="27"/>
    </row>
    <row r="138" spans="2:2" s="24" customFormat="1" x14ac:dyDescent="0.2">
      <c r="B138" s="27"/>
    </row>
    <row r="139" spans="2:2" s="24" customFormat="1" x14ac:dyDescent="0.2">
      <c r="B139" s="27"/>
    </row>
    <row r="140" spans="2:2" s="24" customFormat="1" x14ac:dyDescent="0.2">
      <c r="B140" s="27"/>
    </row>
    <row r="141" spans="2:2" s="24" customFormat="1" x14ac:dyDescent="0.2">
      <c r="B141" s="27"/>
    </row>
    <row r="142" spans="2:2" s="24" customFormat="1" x14ac:dyDescent="0.2">
      <c r="B142" s="27"/>
    </row>
    <row r="143" spans="2:2" s="24" customFormat="1" x14ac:dyDescent="0.2">
      <c r="B143" s="27"/>
    </row>
    <row r="144" spans="2:2" s="24" customFormat="1" x14ac:dyDescent="0.2">
      <c r="B144" s="27"/>
    </row>
    <row r="145" spans="2:2" s="24" customFormat="1" x14ac:dyDescent="0.2">
      <c r="B145" s="27"/>
    </row>
    <row r="146" spans="2:2" s="24" customFormat="1" x14ac:dyDescent="0.2">
      <c r="B146" s="27"/>
    </row>
    <row r="147" spans="2:2" s="24" customFormat="1" x14ac:dyDescent="0.2">
      <c r="B147" s="27"/>
    </row>
    <row r="148" spans="2:2" s="24" customFormat="1" x14ac:dyDescent="0.2">
      <c r="B148" s="27"/>
    </row>
    <row r="149" spans="2:2" s="24" customFormat="1" x14ac:dyDescent="0.2">
      <c r="B149" s="27"/>
    </row>
    <row r="150" spans="2:2" s="24" customFormat="1" x14ac:dyDescent="0.2">
      <c r="B150" s="27"/>
    </row>
    <row r="151" spans="2:2" s="24" customFormat="1" x14ac:dyDescent="0.2">
      <c r="B151" s="27"/>
    </row>
    <row r="152" spans="2:2" s="24" customFormat="1" x14ac:dyDescent="0.2">
      <c r="B152" s="27"/>
    </row>
    <row r="153" spans="2:2" s="24" customFormat="1" x14ac:dyDescent="0.2">
      <c r="B153" s="27"/>
    </row>
    <row r="154" spans="2:2" s="24" customFormat="1" x14ac:dyDescent="0.2">
      <c r="B154" s="27"/>
    </row>
    <row r="155" spans="2:2" s="24" customFormat="1" x14ac:dyDescent="0.2">
      <c r="B155" s="27"/>
    </row>
    <row r="156" spans="2:2" s="24" customFormat="1" x14ac:dyDescent="0.2">
      <c r="B156" s="27"/>
    </row>
    <row r="157" spans="2:2" s="24" customFormat="1" x14ac:dyDescent="0.2">
      <c r="B157" s="27"/>
    </row>
    <row r="158" spans="2:2" s="24" customFormat="1" x14ac:dyDescent="0.2">
      <c r="B158" s="27"/>
    </row>
    <row r="159" spans="2:2" s="24" customFormat="1" x14ac:dyDescent="0.2">
      <c r="B159" s="27"/>
    </row>
    <row r="160" spans="2:2" s="24" customFormat="1" x14ac:dyDescent="0.2">
      <c r="B160" s="27"/>
    </row>
    <row r="161" spans="2:2" s="24" customFormat="1" x14ac:dyDescent="0.2">
      <c r="B161" s="27"/>
    </row>
    <row r="162" spans="2:2" s="24" customFormat="1" x14ac:dyDescent="0.2">
      <c r="B162" s="27"/>
    </row>
    <row r="163" spans="2:2" s="24" customFormat="1" x14ac:dyDescent="0.2">
      <c r="B163" s="27"/>
    </row>
    <row r="164" spans="2:2" s="24" customFormat="1" x14ac:dyDescent="0.2">
      <c r="B164" s="27"/>
    </row>
    <row r="165" spans="2:2" s="24" customFormat="1" x14ac:dyDescent="0.2">
      <c r="B165" s="27"/>
    </row>
    <row r="166" spans="2:2" s="24" customFormat="1" x14ac:dyDescent="0.2">
      <c r="B166" s="27"/>
    </row>
    <row r="167" spans="2:2" s="24" customFormat="1" x14ac:dyDescent="0.2">
      <c r="B167" s="27"/>
    </row>
    <row r="168" spans="2:2" s="24" customFormat="1" x14ac:dyDescent="0.2">
      <c r="B168" s="27"/>
    </row>
    <row r="169" spans="2:2" s="24" customFormat="1" x14ac:dyDescent="0.2">
      <c r="B169" s="27"/>
    </row>
    <row r="170" spans="2:2" s="24" customFormat="1" x14ac:dyDescent="0.2">
      <c r="B170" s="27"/>
    </row>
    <row r="171" spans="2:2" s="24" customFormat="1" x14ac:dyDescent="0.2">
      <c r="B171" s="27"/>
    </row>
    <row r="172" spans="2:2" s="24" customFormat="1" x14ac:dyDescent="0.2">
      <c r="B172" s="27"/>
    </row>
    <row r="173" spans="2:2" s="24" customFormat="1" x14ac:dyDescent="0.2">
      <c r="B173" s="27"/>
    </row>
    <row r="174" spans="2:2" s="24" customFormat="1" x14ac:dyDescent="0.2">
      <c r="B174" s="27"/>
    </row>
    <row r="175" spans="2:2" s="24" customFormat="1" x14ac:dyDescent="0.2">
      <c r="B175" s="27"/>
    </row>
    <row r="176" spans="2:2" s="24" customFormat="1" x14ac:dyDescent="0.2">
      <c r="B176" s="27"/>
    </row>
    <row r="177" spans="2:2" s="24" customFormat="1" x14ac:dyDescent="0.2">
      <c r="B177" s="27"/>
    </row>
    <row r="178" spans="2:2" s="24" customFormat="1" x14ac:dyDescent="0.2">
      <c r="B178" s="27"/>
    </row>
    <row r="179" spans="2:2" s="24" customFormat="1" x14ac:dyDescent="0.2">
      <c r="B179" s="27"/>
    </row>
    <row r="180" spans="2:2" s="24" customFormat="1" x14ac:dyDescent="0.2">
      <c r="B180" s="27"/>
    </row>
    <row r="181" spans="2:2" s="24" customFormat="1" x14ac:dyDescent="0.2">
      <c r="B181" s="27"/>
    </row>
    <row r="182" spans="2:2" s="24" customFormat="1" x14ac:dyDescent="0.2">
      <c r="B182" s="27"/>
    </row>
    <row r="183" spans="2:2" s="24" customFormat="1" x14ac:dyDescent="0.2">
      <c r="B183" s="27"/>
    </row>
    <row r="184" spans="2:2" s="24" customFormat="1" x14ac:dyDescent="0.2">
      <c r="B184" s="27"/>
    </row>
    <row r="185" spans="2:2" s="24" customFormat="1" x14ac:dyDescent="0.2">
      <c r="B185" s="27"/>
    </row>
    <row r="186" spans="2:2" s="24" customFormat="1" x14ac:dyDescent="0.2">
      <c r="B186" s="27"/>
    </row>
    <row r="187" spans="2:2" s="24" customFormat="1" x14ac:dyDescent="0.2">
      <c r="B187" s="27"/>
    </row>
    <row r="188" spans="2:2" s="24" customFormat="1" x14ac:dyDescent="0.2">
      <c r="B188" s="27"/>
    </row>
    <row r="189" spans="2:2" s="24" customFormat="1" x14ac:dyDescent="0.2">
      <c r="B189" s="27"/>
    </row>
    <row r="190" spans="2:2" s="24" customFormat="1" x14ac:dyDescent="0.2">
      <c r="B190" s="27"/>
    </row>
    <row r="191" spans="2:2" s="24" customFormat="1" x14ac:dyDescent="0.2">
      <c r="B191" s="27"/>
    </row>
    <row r="192" spans="2:2" s="24" customFormat="1" x14ac:dyDescent="0.2">
      <c r="B192" s="27"/>
    </row>
    <row r="193" spans="2:2" s="24" customFormat="1" x14ac:dyDescent="0.2">
      <c r="B193" s="27"/>
    </row>
    <row r="194" spans="2:2" s="24" customFormat="1" x14ac:dyDescent="0.2">
      <c r="B194" s="27"/>
    </row>
    <row r="195" spans="2:2" s="24" customFormat="1" x14ac:dyDescent="0.2">
      <c r="B195" s="27"/>
    </row>
    <row r="196" spans="2:2" s="24" customFormat="1" x14ac:dyDescent="0.2">
      <c r="B196" s="27"/>
    </row>
    <row r="197" spans="2:2" s="24" customFormat="1" x14ac:dyDescent="0.2">
      <c r="B197" s="27"/>
    </row>
    <row r="198" spans="2:2" s="24" customFormat="1" x14ac:dyDescent="0.2">
      <c r="B198" s="27"/>
    </row>
    <row r="199" spans="2:2" s="24" customFormat="1" x14ac:dyDescent="0.2">
      <c r="B199" s="27"/>
    </row>
    <row r="200" spans="2:2" s="24" customFormat="1" x14ac:dyDescent="0.2">
      <c r="B200" s="27"/>
    </row>
    <row r="201" spans="2:2" s="24" customFormat="1" x14ac:dyDescent="0.2">
      <c r="B201" s="27"/>
    </row>
    <row r="202" spans="2:2" s="24" customFormat="1" x14ac:dyDescent="0.2">
      <c r="B202" s="27"/>
    </row>
    <row r="203" spans="2:2" s="24" customFormat="1" x14ac:dyDescent="0.2">
      <c r="B203" s="27"/>
    </row>
    <row r="204" spans="2:2" s="24" customFormat="1" x14ac:dyDescent="0.2">
      <c r="B204" s="27"/>
    </row>
    <row r="205" spans="2:2" s="24" customFormat="1" x14ac:dyDescent="0.2">
      <c r="B205" s="27"/>
    </row>
    <row r="206" spans="2:2" s="24" customFormat="1" x14ac:dyDescent="0.2">
      <c r="B206" s="27"/>
    </row>
    <row r="207" spans="2:2" s="24" customFormat="1" x14ac:dyDescent="0.2">
      <c r="B207" s="27"/>
    </row>
    <row r="208" spans="2:2" s="24" customFormat="1" x14ac:dyDescent="0.2">
      <c r="B208" s="27"/>
    </row>
    <row r="209" spans="2:2" s="24" customFormat="1" x14ac:dyDescent="0.2">
      <c r="B209" s="27"/>
    </row>
    <row r="210" spans="2:2" s="24" customFormat="1" x14ac:dyDescent="0.2">
      <c r="B210" s="27"/>
    </row>
    <row r="211" spans="2:2" s="24" customFormat="1" x14ac:dyDescent="0.2">
      <c r="B211" s="27"/>
    </row>
    <row r="212" spans="2:2" s="24" customFormat="1" x14ac:dyDescent="0.2">
      <c r="B212" s="27"/>
    </row>
    <row r="213" spans="2:2" s="24" customFormat="1" x14ac:dyDescent="0.2">
      <c r="B213" s="27"/>
    </row>
    <row r="214" spans="2:2" s="24" customFormat="1" x14ac:dyDescent="0.2">
      <c r="B214" s="27"/>
    </row>
    <row r="215" spans="2:2" s="24" customFormat="1" x14ac:dyDescent="0.2">
      <c r="B215" s="27"/>
    </row>
    <row r="216" spans="2:2" s="24" customFormat="1" x14ac:dyDescent="0.2">
      <c r="B216" s="27"/>
    </row>
    <row r="217" spans="2:2" s="24" customFormat="1" x14ac:dyDescent="0.2">
      <c r="B217" s="27"/>
    </row>
    <row r="218" spans="2:2" s="24" customFormat="1" x14ac:dyDescent="0.2">
      <c r="B218" s="27"/>
    </row>
    <row r="219" spans="2:2" s="24" customFormat="1" x14ac:dyDescent="0.2">
      <c r="B219" s="27"/>
    </row>
    <row r="220" spans="2:2" s="24" customFormat="1" x14ac:dyDescent="0.2">
      <c r="B220" s="27"/>
    </row>
    <row r="221" spans="2:2" s="24" customFormat="1" x14ac:dyDescent="0.2">
      <c r="B221" s="27"/>
    </row>
    <row r="222" spans="2:2" s="24" customFormat="1" x14ac:dyDescent="0.2">
      <c r="B222" s="27"/>
    </row>
    <row r="223" spans="2:2" s="24" customFormat="1" x14ac:dyDescent="0.2">
      <c r="B223" s="27"/>
    </row>
    <row r="224" spans="2:2" s="24" customFormat="1" x14ac:dyDescent="0.2">
      <c r="B224" s="27"/>
    </row>
    <row r="225" spans="2:2" s="24" customFormat="1" x14ac:dyDescent="0.2">
      <c r="B225" s="27"/>
    </row>
    <row r="226" spans="2:2" s="24" customFormat="1" x14ac:dyDescent="0.2">
      <c r="B226" s="27"/>
    </row>
    <row r="227" spans="2:2" s="24" customFormat="1" x14ac:dyDescent="0.2">
      <c r="B227" s="27"/>
    </row>
    <row r="228" spans="2:2" s="24" customFormat="1" x14ac:dyDescent="0.2">
      <c r="B228" s="27"/>
    </row>
    <row r="229" spans="2:2" s="24" customFormat="1" x14ac:dyDescent="0.2">
      <c r="B229" s="27"/>
    </row>
    <row r="230" spans="2:2" s="24" customFormat="1" x14ac:dyDescent="0.2">
      <c r="B230" s="27"/>
    </row>
    <row r="231" spans="2:2" s="24" customFormat="1" x14ac:dyDescent="0.2">
      <c r="B231" s="27"/>
    </row>
    <row r="232" spans="2:2" s="24" customFormat="1" x14ac:dyDescent="0.2">
      <c r="B232" s="27"/>
    </row>
    <row r="233" spans="2:2" s="24" customFormat="1" x14ac:dyDescent="0.2">
      <c r="B233" s="27"/>
    </row>
    <row r="234" spans="2:2" s="24" customFormat="1" x14ac:dyDescent="0.2">
      <c r="B234" s="27"/>
    </row>
    <row r="235" spans="2:2" s="24" customFormat="1" x14ac:dyDescent="0.2">
      <c r="B235" s="27"/>
    </row>
    <row r="236" spans="2:2" s="24" customFormat="1" x14ac:dyDescent="0.2">
      <c r="B236" s="27"/>
    </row>
    <row r="237" spans="2:2" s="24" customFormat="1" x14ac:dyDescent="0.2">
      <c r="B237" s="27"/>
    </row>
    <row r="238" spans="2:2" s="24" customFormat="1" x14ac:dyDescent="0.2">
      <c r="B238" s="27"/>
    </row>
    <row r="239" spans="2:2" s="24" customFormat="1" x14ac:dyDescent="0.2">
      <c r="B239" s="27"/>
    </row>
    <row r="240" spans="2:2" s="24" customFormat="1" x14ac:dyDescent="0.2">
      <c r="B240" s="27"/>
    </row>
    <row r="241" spans="2:2" s="24" customFormat="1" x14ac:dyDescent="0.2">
      <c r="B241" s="27"/>
    </row>
    <row r="242" spans="2:2" s="24" customFormat="1" x14ac:dyDescent="0.2">
      <c r="B242" s="27"/>
    </row>
    <row r="243" spans="2:2" s="24" customFormat="1" x14ac:dyDescent="0.2">
      <c r="B243" s="27"/>
    </row>
    <row r="244" spans="2:2" s="24" customFormat="1" x14ac:dyDescent="0.2">
      <c r="B244" s="27"/>
    </row>
    <row r="245" spans="2:2" s="24" customFormat="1" x14ac:dyDescent="0.2">
      <c r="B245" s="27"/>
    </row>
    <row r="246" spans="2:2" s="24" customFormat="1" x14ac:dyDescent="0.2">
      <c r="B246" s="27"/>
    </row>
    <row r="247" spans="2:2" s="24" customFormat="1" x14ac:dyDescent="0.2">
      <c r="B247" s="27"/>
    </row>
    <row r="248" spans="2:2" s="24" customFormat="1" x14ac:dyDescent="0.2">
      <c r="B248" s="27"/>
    </row>
    <row r="249" spans="2:2" s="24" customFormat="1" x14ac:dyDescent="0.2">
      <c r="B249" s="27"/>
    </row>
    <row r="250" spans="2:2" s="24" customFormat="1" x14ac:dyDescent="0.2">
      <c r="B250" s="27"/>
    </row>
    <row r="251" spans="2:2" s="24" customFormat="1" x14ac:dyDescent="0.2">
      <c r="B251" s="27"/>
    </row>
    <row r="252" spans="2:2" s="24" customFormat="1" x14ac:dyDescent="0.2">
      <c r="B252" s="27"/>
    </row>
    <row r="253" spans="2:2" s="24" customFormat="1" x14ac:dyDescent="0.2">
      <c r="B253" s="27"/>
    </row>
    <row r="254" spans="2:2" s="24" customFormat="1" x14ac:dyDescent="0.2">
      <c r="B254" s="27"/>
    </row>
    <row r="255" spans="2:2" s="24" customFormat="1" x14ac:dyDescent="0.2">
      <c r="B255" s="27"/>
    </row>
    <row r="256" spans="2:2" s="24" customFormat="1" x14ac:dyDescent="0.2">
      <c r="B256" s="27"/>
    </row>
    <row r="257" spans="2:2" s="24" customFormat="1" x14ac:dyDescent="0.2">
      <c r="B257" s="27"/>
    </row>
    <row r="258" spans="2:2" s="24" customFormat="1" x14ac:dyDescent="0.2">
      <c r="B258" s="27"/>
    </row>
    <row r="259" spans="2:2" s="24" customFormat="1" x14ac:dyDescent="0.2">
      <c r="B259" s="27"/>
    </row>
    <row r="260" spans="2:2" s="24" customFormat="1" x14ac:dyDescent="0.2">
      <c r="B260" s="27"/>
    </row>
    <row r="261" spans="2:2" s="24" customFormat="1" x14ac:dyDescent="0.2">
      <c r="B261" s="27"/>
    </row>
    <row r="262" spans="2:2" s="24" customFormat="1" x14ac:dyDescent="0.2">
      <c r="B262" s="27"/>
    </row>
    <row r="263" spans="2:2" s="24" customFormat="1" x14ac:dyDescent="0.2">
      <c r="B263" s="27"/>
    </row>
    <row r="264" spans="2:2" s="24" customFormat="1" x14ac:dyDescent="0.2">
      <c r="B264" s="27"/>
    </row>
    <row r="265" spans="2:2" s="24" customFormat="1" x14ac:dyDescent="0.2">
      <c r="B265" s="27"/>
    </row>
    <row r="266" spans="2:2" s="24" customFormat="1" x14ac:dyDescent="0.2">
      <c r="B266" s="27"/>
    </row>
    <row r="267" spans="2:2" s="24" customFormat="1" x14ac:dyDescent="0.2">
      <c r="B267" s="27"/>
    </row>
    <row r="268" spans="2:2" s="24" customFormat="1" x14ac:dyDescent="0.2">
      <c r="B268" s="27"/>
    </row>
    <row r="269" spans="2:2" s="24" customFormat="1" x14ac:dyDescent="0.2">
      <c r="B269" s="27"/>
    </row>
    <row r="270" spans="2:2" s="24" customFormat="1" x14ac:dyDescent="0.2">
      <c r="B270" s="27"/>
    </row>
    <row r="271" spans="2:2" s="24" customFormat="1" x14ac:dyDescent="0.2">
      <c r="B271" s="27"/>
    </row>
    <row r="272" spans="2:2" s="24" customFormat="1" x14ac:dyDescent="0.2">
      <c r="B272" s="27"/>
    </row>
    <row r="273" spans="2:2" s="24" customFormat="1" x14ac:dyDescent="0.2">
      <c r="B273" s="27"/>
    </row>
    <row r="274" spans="2:2" s="24" customFormat="1" x14ac:dyDescent="0.2">
      <c r="B274" s="27"/>
    </row>
    <row r="275" spans="2:2" s="24" customFormat="1" x14ac:dyDescent="0.2">
      <c r="B275" s="27"/>
    </row>
    <row r="276" spans="2:2" s="24" customFormat="1" x14ac:dyDescent="0.2">
      <c r="B276" s="27"/>
    </row>
    <row r="277" spans="2:2" s="24" customFormat="1" x14ac:dyDescent="0.2">
      <c r="B277" s="27"/>
    </row>
    <row r="278" spans="2:2" s="24" customFormat="1" x14ac:dyDescent="0.2">
      <c r="B278" s="27"/>
    </row>
    <row r="279" spans="2:2" s="24" customFormat="1" x14ac:dyDescent="0.2">
      <c r="B279" s="27"/>
    </row>
    <row r="280" spans="2:2" s="24" customFormat="1" x14ac:dyDescent="0.2">
      <c r="B280" s="27"/>
    </row>
    <row r="281" spans="2:2" s="24" customFormat="1" x14ac:dyDescent="0.2">
      <c r="B281" s="27"/>
    </row>
    <row r="282" spans="2:2" s="24" customFormat="1" x14ac:dyDescent="0.2">
      <c r="B282" s="27"/>
    </row>
    <row r="283" spans="2:2" s="24" customFormat="1" x14ac:dyDescent="0.2">
      <c r="B283" s="27"/>
    </row>
    <row r="284" spans="2:2" s="24" customFormat="1" x14ac:dyDescent="0.2">
      <c r="B284" s="27"/>
    </row>
    <row r="285" spans="2:2" s="24" customFormat="1" x14ac:dyDescent="0.2">
      <c r="B285" s="27"/>
    </row>
    <row r="286" spans="2:2" s="24" customFormat="1" x14ac:dyDescent="0.2">
      <c r="B286" s="27"/>
    </row>
    <row r="287" spans="2:2" s="24" customFormat="1" x14ac:dyDescent="0.2">
      <c r="B287" s="27"/>
    </row>
    <row r="288" spans="2:2" s="24" customFormat="1" x14ac:dyDescent="0.2">
      <c r="B288" s="27"/>
    </row>
    <row r="289" spans="2:2" s="24" customFormat="1" x14ac:dyDescent="0.2">
      <c r="B289" s="27"/>
    </row>
    <row r="290" spans="2:2" s="24" customFormat="1" x14ac:dyDescent="0.2">
      <c r="B290" s="27"/>
    </row>
    <row r="291" spans="2:2" s="24" customFormat="1" x14ac:dyDescent="0.2">
      <c r="B291" s="27"/>
    </row>
    <row r="292" spans="2:2" s="24" customFormat="1" x14ac:dyDescent="0.2">
      <c r="B292" s="27"/>
    </row>
    <row r="293" spans="2:2" s="24" customFormat="1" x14ac:dyDescent="0.2">
      <c r="B293" s="27"/>
    </row>
    <row r="294" spans="2:2" s="24" customFormat="1" x14ac:dyDescent="0.2">
      <c r="B294" s="27"/>
    </row>
    <row r="295" spans="2:2" s="24" customFormat="1" x14ac:dyDescent="0.2">
      <c r="B295" s="27"/>
    </row>
    <row r="296" spans="2:2" s="24" customFormat="1" x14ac:dyDescent="0.2">
      <c r="B296" s="27"/>
    </row>
    <row r="297" spans="2:2" s="24" customFormat="1" x14ac:dyDescent="0.2">
      <c r="B297" s="27"/>
    </row>
    <row r="298" spans="2:2" s="24" customFormat="1" x14ac:dyDescent="0.2">
      <c r="B298" s="27"/>
    </row>
    <row r="299" spans="2:2" s="24" customFormat="1" x14ac:dyDescent="0.2">
      <c r="B299" s="27"/>
    </row>
    <row r="300" spans="2:2" s="24" customFormat="1" x14ac:dyDescent="0.2">
      <c r="B300" s="27"/>
    </row>
    <row r="301" spans="2:2" s="24" customFormat="1" x14ac:dyDescent="0.2">
      <c r="B301" s="27"/>
    </row>
    <row r="302" spans="2:2" s="24" customFormat="1" x14ac:dyDescent="0.2">
      <c r="B302" s="27"/>
    </row>
    <row r="303" spans="2:2" s="24" customFormat="1" x14ac:dyDescent="0.2">
      <c r="B303" s="27"/>
    </row>
    <row r="304" spans="2:2" s="24" customFormat="1" x14ac:dyDescent="0.2">
      <c r="B304" s="27"/>
    </row>
    <row r="305" spans="2:2" s="24" customFormat="1" x14ac:dyDescent="0.2">
      <c r="B305" s="27"/>
    </row>
    <row r="306" spans="2:2" s="24" customFormat="1" x14ac:dyDescent="0.2">
      <c r="B306" s="27"/>
    </row>
    <row r="307" spans="2:2" s="24" customFormat="1" x14ac:dyDescent="0.2">
      <c r="B307" s="27"/>
    </row>
    <row r="308" spans="2:2" s="24" customFormat="1" x14ac:dyDescent="0.2">
      <c r="B308" s="27"/>
    </row>
    <row r="309" spans="2:2" s="24" customFormat="1" x14ac:dyDescent="0.2">
      <c r="B309" s="27"/>
    </row>
    <row r="310" spans="2:2" s="24" customFormat="1" x14ac:dyDescent="0.2">
      <c r="B310" s="27"/>
    </row>
    <row r="311" spans="2:2" s="24" customFormat="1" x14ac:dyDescent="0.2">
      <c r="B311" s="27"/>
    </row>
    <row r="312" spans="2:2" s="24" customFormat="1" x14ac:dyDescent="0.2">
      <c r="B312" s="27"/>
    </row>
    <row r="313" spans="2:2" s="24" customFormat="1" x14ac:dyDescent="0.2">
      <c r="B313" s="27"/>
    </row>
    <row r="314" spans="2:2" s="24" customFormat="1" x14ac:dyDescent="0.2">
      <c r="B314" s="27"/>
    </row>
    <row r="315" spans="2:2" s="24" customFormat="1" x14ac:dyDescent="0.2">
      <c r="B315" s="27"/>
    </row>
    <row r="316" spans="2:2" s="24" customFormat="1" x14ac:dyDescent="0.2">
      <c r="B316" s="27"/>
    </row>
    <row r="317" spans="2:2" s="24" customFormat="1" x14ac:dyDescent="0.2">
      <c r="B317" s="27"/>
    </row>
    <row r="318" spans="2:2" s="24" customFormat="1" x14ac:dyDescent="0.2">
      <c r="B318" s="27"/>
    </row>
    <row r="319" spans="2:2" s="24" customFormat="1" x14ac:dyDescent="0.2">
      <c r="B319" s="27"/>
    </row>
    <row r="320" spans="2:2" s="24" customFormat="1" x14ac:dyDescent="0.2">
      <c r="B320" s="27"/>
    </row>
    <row r="321" spans="2:2" s="24" customFormat="1" x14ac:dyDescent="0.2">
      <c r="B321" s="27"/>
    </row>
    <row r="322" spans="2:2" s="24" customFormat="1" x14ac:dyDescent="0.2">
      <c r="B322" s="27"/>
    </row>
    <row r="323" spans="2:2" s="24" customFormat="1" x14ac:dyDescent="0.2">
      <c r="B323" s="27"/>
    </row>
    <row r="324" spans="2:2" s="24" customFormat="1" x14ac:dyDescent="0.2">
      <c r="B324" s="27"/>
    </row>
    <row r="325" spans="2:2" s="24" customFormat="1" x14ac:dyDescent="0.2">
      <c r="B325" s="27"/>
    </row>
    <row r="326" spans="2:2" s="24" customFormat="1" x14ac:dyDescent="0.2">
      <c r="B326" s="27"/>
    </row>
    <row r="327" spans="2:2" s="24" customFormat="1" x14ac:dyDescent="0.2">
      <c r="B327" s="27"/>
    </row>
    <row r="328" spans="2:2" s="24" customFormat="1" x14ac:dyDescent="0.2">
      <c r="B328" s="27"/>
    </row>
    <row r="329" spans="2:2" s="24" customFormat="1" x14ac:dyDescent="0.2">
      <c r="B329" s="27"/>
    </row>
    <row r="330" spans="2:2" s="24" customFormat="1" x14ac:dyDescent="0.2">
      <c r="B330" s="27"/>
    </row>
    <row r="331" spans="2:2" s="24" customFormat="1" x14ac:dyDescent="0.2">
      <c r="B331" s="27"/>
    </row>
    <row r="332" spans="2:2" s="24" customFormat="1" x14ac:dyDescent="0.2">
      <c r="B332" s="27"/>
    </row>
    <row r="333" spans="2:2" s="24" customFormat="1" x14ac:dyDescent="0.2">
      <c r="B333" s="27"/>
    </row>
    <row r="334" spans="2:2" s="24" customFormat="1" x14ac:dyDescent="0.2">
      <c r="B334" s="27"/>
    </row>
    <row r="335" spans="2:2" s="24" customFormat="1" x14ac:dyDescent="0.2">
      <c r="B335" s="27"/>
    </row>
    <row r="336" spans="2:2" s="24" customFormat="1" x14ac:dyDescent="0.2">
      <c r="B336" s="27"/>
    </row>
    <row r="337" spans="2:2" s="24" customFormat="1" x14ac:dyDescent="0.2">
      <c r="B337" s="27"/>
    </row>
    <row r="338" spans="2:2" s="24" customFormat="1" x14ac:dyDescent="0.2">
      <c r="B338" s="27"/>
    </row>
    <row r="339" spans="2:2" s="24" customFormat="1" x14ac:dyDescent="0.2">
      <c r="B339" s="27"/>
    </row>
    <row r="340" spans="2:2" s="24" customFormat="1" x14ac:dyDescent="0.2">
      <c r="B340" s="27"/>
    </row>
    <row r="341" spans="2:2" s="24" customFormat="1" x14ac:dyDescent="0.2">
      <c r="B341" s="27"/>
    </row>
    <row r="342" spans="2:2" s="24" customFormat="1" x14ac:dyDescent="0.2">
      <c r="B342" s="27"/>
    </row>
    <row r="343" spans="2:2" s="24" customFormat="1" x14ac:dyDescent="0.2">
      <c r="B343" s="27"/>
    </row>
    <row r="344" spans="2:2" s="24" customFormat="1" x14ac:dyDescent="0.2">
      <c r="B344" s="27"/>
    </row>
    <row r="345" spans="2:2" s="24" customFormat="1" x14ac:dyDescent="0.2">
      <c r="B345" s="27"/>
    </row>
    <row r="346" spans="2:2" s="24" customFormat="1" x14ac:dyDescent="0.2">
      <c r="B346" s="27"/>
    </row>
    <row r="347" spans="2:2" s="24" customFormat="1" x14ac:dyDescent="0.2">
      <c r="B347" s="27"/>
    </row>
    <row r="348" spans="2:2" s="24" customFormat="1" x14ac:dyDescent="0.2">
      <c r="B348" s="27"/>
    </row>
    <row r="349" spans="2:2" s="24" customFormat="1" x14ac:dyDescent="0.2">
      <c r="B349" s="27"/>
    </row>
    <row r="350" spans="2:2" s="24" customFormat="1" x14ac:dyDescent="0.2">
      <c r="B350" s="27"/>
    </row>
    <row r="351" spans="2:2" s="24" customFormat="1" x14ac:dyDescent="0.2">
      <c r="B351" s="27"/>
    </row>
    <row r="352" spans="2:2" s="24" customFormat="1" x14ac:dyDescent="0.2">
      <c r="B352" s="27"/>
    </row>
    <row r="353" spans="2:2" s="24" customFormat="1" x14ac:dyDescent="0.2">
      <c r="B353" s="27"/>
    </row>
    <row r="354" spans="2:2" s="24" customFormat="1" x14ac:dyDescent="0.2">
      <c r="B354" s="27"/>
    </row>
    <row r="355" spans="2:2" s="24" customFormat="1" x14ac:dyDescent="0.2">
      <c r="B355" s="27"/>
    </row>
    <row r="356" spans="2:2" s="24" customFormat="1" x14ac:dyDescent="0.2">
      <c r="B356" s="27"/>
    </row>
    <row r="357" spans="2:2" s="24" customFormat="1" x14ac:dyDescent="0.2">
      <c r="B357" s="27"/>
    </row>
    <row r="358" spans="2:2" s="24" customFormat="1" x14ac:dyDescent="0.2">
      <c r="B358" s="27"/>
    </row>
    <row r="359" spans="2:2" s="24" customFormat="1" x14ac:dyDescent="0.2">
      <c r="B359" s="27"/>
    </row>
    <row r="360" spans="2:2" s="24" customFormat="1" x14ac:dyDescent="0.2">
      <c r="B360" s="27"/>
    </row>
    <row r="361" spans="2:2" s="24" customFormat="1" x14ac:dyDescent="0.2">
      <c r="B361" s="27"/>
    </row>
    <row r="362" spans="2:2" s="24" customFormat="1" x14ac:dyDescent="0.2">
      <c r="B362" s="27"/>
    </row>
    <row r="363" spans="2:2" s="24" customFormat="1" x14ac:dyDescent="0.2">
      <c r="B363" s="27"/>
    </row>
    <row r="364" spans="2:2" s="24" customFormat="1" x14ac:dyDescent="0.2">
      <c r="B364" s="27"/>
    </row>
    <row r="365" spans="2:2" s="24" customFormat="1" x14ac:dyDescent="0.2">
      <c r="B365" s="27"/>
    </row>
    <row r="366" spans="2:2" s="24" customFormat="1" x14ac:dyDescent="0.2">
      <c r="B366" s="27"/>
    </row>
    <row r="367" spans="2:2" s="24" customFormat="1" x14ac:dyDescent="0.2">
      <c r="B367" s="27"/>
    </row>
    <row r="368" spans="2:2" s="24" customFormat="1" x14ac:dyDescent="0.2">
      <c r="B368" s="27"/>
    </row>
    <row r="369" spans="2:2" s="24" customFormat="1" x14ac:dyDescent="0.2">
      <c r="B369" s="27"/>
    </row>
    <row r="370" spans="2:2" s="24" customFormat="1" x14ac:dyDescent="0.2">
      <c r="B370" s="27"/>
    </row>
    <row r="371" spans="2:2" s="24" customFormat="1" x14ac:dyDescent="0.2">
      <c r="B371" s="27"/>
    </row>
    <row r="372" spans="2:2" s="24" customFormat="1" x14ac:dyDescent="0.2">
      <c r="B372" s="27"/>
    </row>
    <row r="373" spans="2:2" s="24" customFormat="1" x14ac:dyDescent="0.2">
      <c r="B373" s="27"/>
    </row>
    <row r="374" spans="2:2" s="24" customFormat="1" x14ac:dyDescent="0.2">
      <c r="B374" s="27"/>
    </row>
    <row r="375" spans="2:2" s="24" customFormat="1" x14ac:dyDescent="0.2">
      <c r="B375" s="27"/>
    </row>
    <row r="376" spans="2:2" s="24" customFormat="1" x14ac:dyDescent="0.2">
      <c r="B376" s="27"/>
    </row>
    <row r="377" spans="2:2" s="24" customFormat="1" x14ac:dyDescent="0.2">
      <c r="B377" s="27"/>
    </row>
    <row r="378" spans="2:2" s="24" customFormat="1" x14ac:dyDescent="0.2">
      <c r="B378" s="27"/>
    </row>
    <row r="379" spans="2:2" s="24" customFormat="1" x14ac:dyDescent="0.2">
      <c r="B379" s="27"/>
    </row>
    <row r="380" spans="2:2" s="24" customFormat="1" x14ac:dyDescent="0.2">
      <c r="B380" s="27"/>
    </row>
    <row r="381" spans="2:2" s="24" customFormat="1" x14ac:dyDescent="0.2">
      <c r="B381" s="27"/>
    </row>
    <row r="382" spans="2:2" s="24" customFormat="1" x14ac:dyDescent="0.2">
      <c r="B382" s="27"/>
    </row>
    <row r="383" spans="2:2" s="24" customFormat="1" x14ac:dyDescent="0.2">
      <c r="B383" s="27"/>
    </row>
    <row r="384" spans="2:2" s="24" customFormat="1" x14ac:dyDescent="0.2">
      <c r="B384" s="27"/>
    </row>
    <row r="385" spans="2:2" s="24" customFormat="1" x14ac:dyDescent="0.2">
      <c r="B385" s="27"/>
    </row>
    <row r="386" spans="2:2" s="24" customFormat="1" x14ac:dyDescent="0.2">
      <c r="B386" s="27"/>
    </row>
    <row r="387" spans="2:2" s="24" customFormat="1" x14ac:dyDescent="0.2">
      <c r="B387" s="27"/>
    </row>
    <row r="388" spans="2:2" s="24" customFormat="1" x14ac:dyDescent="0.2">
      <c r="B388" s="27"/>
    </row>
    <row r="389" spans="2:2" s="24" customFormat="1" x14ac:dyDescent="0.2">
      <c r="B389" s="27"/>
    </row>
    <row r="390" spans="2:2" s="24" customFormat="1" x14ac:dyDescent="0.2">
      <c r="B390" s="27"/>
    </row>
    <row r="391" spans="2:2" s="24" customFormat="1" x14ac:dyDescent="0.2">
      <c r="B391" s="27"/>
    </row>
    <row r="392" spans="2:2" s="24" customFormat="1" x14ac:dyDescent="0.2">
      <c r="B392" s="27"/>
    </row>
    <row r="393" spans="2:2" s="24" customFormat="1" x14ac:dyDescent="0.2">
      <c r="B393" s="27"/>
    </row>
    <row r="394" spans="2:2" s="24" customFormat="1" x14ac:dyDescent="0.2">
      <c r="B394" s="27"/>
    </row>
    <row r="395" spans="2:2" s="24" customFormat="1" x14ac:dyDescent="0.2">
      <c r="B395" s="27"/>
    </row>
    <row r="396" spans="2:2" s="24" customFormat="1" x14ac:dyDescent="0.2">
      <c r="B396" s="27"/>
    </row>
    <row r="397" spans="2:2" s="24" customFormat="1" x14ac:dyDescent="0.2">
      <c r="B397" s="27"/>
    </row>
    <row r="398" spans="2:2" s="24" customFormat="1" x14ac:dyDescent="0.2">
      <c r="B398" s="27"/>
    </row>
    <row r="399" spans="2:2" s="24" customFormat="1" x14ac:dyDescent="0.2">
      <c r="B399" s="27"/>
    </row>
    <row r="400" spans="2:2" s="24" customFormat="1" x14ac:dyDescent="0.2">
      <c r="B400" s="27"/>
    </row>
    <row r="401" spans="2:2" s="24" customFormat="1" x14ac:dyDescent="0.2">
      <c r="B401" s="27"/>
    </row>
    <row r="402" spans="2:2" s="24" customFormat="1" x14ac:dyDescent="0.2">
      <c r="B402" s="27"/>
    </row>
    <row r="403" spans="2:2" s="24" customFormat="1" x14ac:dyDescent="0.2">
      <c r="B403" s="27"/>
    </row>
    <row r="404" spans="2:2" s="24" customFormat="1" x14ac:dyDescent="0.2">
      <c r="B404" s="27"/>
    </row>
    <row r="405" spans="2:2" s="24" customFormat="1" x14ac:dyDescent="0.2">
      <c r="B405" s="27"/>
    </row>
    <row r="406" spans="2:2" s="24" customFormat="1" x14ac:dyDescent="0.2">
      <c r="B406" s="27"/>
    </row>
    <row r="407" spans="2:2" s="24" customFormat="1" x14ac:dyDescent="0.2">
      <c r="B407" s="27"/>
    </row>
    <row r="408" spans="2:2" s="24" customFormat="1" x14ac:dyDescent="0.2">
      <c r="B408" s="27"/>
    </row>
    <row r="409" spans="2:2" s="24" customFormat="1" x14ac:dyDescent="0.2">
      <c r="B409" s="27"/>
    </row>
    <row r="410" spans="2:2" s="24" customFormat="1" x14ac:dyDescent="0.2">
      <c r="B410" s="27"/>
    </row>
    <row r="411" spans="2:2" s="24" customFormat="1" x14ac:dyDescent="0.2">
      <c r="B411" s="27"/>
    </row>
    <row r="412" spans="2:2" s="24" customFormat="1" x14ac:dyDescent="0.2">
      <c r="B412" s="27"/>
    </row>
    <row r="413" spans="2:2" s="24" customFormat="1" x14ac:dyDescent="0.2">
      <c r="B413" s="27"/>
    </row>
    <row r="414" spans="2:2" s="24" customFormat="1" x14ac:dyDescent="0.2">
      <c r="B414" s="27"/>
    </row>
    <row r="415" spans="2:2" s="24" customFormat="1" x14ac:dyDescent="0.2">
      <c r="B415" s="27"/>
    </row>
    <row r="416" spans="2:2" s="24" customFormat="1" x14ac:dyDescent="0.2">
      <c r="B416" s="27"/>
    </row>
    <row r="417" spans="2:2" s="24" customFormat="1" x14ac:dyDescent="0.2">
      <c r="B417" s="27"/>
    </row>
    <row r="418" spans="2:2" s="24" customFormat="1" x14ac:dyDescent="0.2">
      <c r="B418" s="27"/>
    </row>
    <row r="419" spans="2:2" s="24" customFormat="1" x14ac:dyDescent="0.2">
      <c r="B419" s="27"/>
    </row>
    <row r="420" spans="2:2" s="24" customFormat="1" x14ac:dyDescent="0.2">
      <c r="B420" s="27"/>
    </row>
    <row r="421" spans="2:2" s="24" customFormat="1" x14ac:dyDescent="0.2">
      <c r="B421" s="27"/>
    </row>
    <row r="422" spans="2:2" s="24" customFormat="1" x14ac:dyDescent="0.2">
      <c r="B422" s="27"/>
    </row>
    <row r="423" spans="2:2" s="24" customFormat="1" x14ac:dyDescent="0.2">
      <c r="B423" s="27"/>
    </row>
    <row r="424" spans="2:2" s="24" customFormat="1" x14ac:dyDescent="0.2">
      <c r="B424" s="27"/>
    </row>
    <row r="425" spans="2:2" s="24" customFormat="1" x14ac:dyDescent="0.2">
      <c r="B425" s="27"/>
    </row>
    <row r="426" spans="2:2" s="24" customFormat="1" x14ac:dyDescent="0.2">
      <c r="B426" s="27"/>
    </row>
    <row r="427" spans="2:2" s="24" customFormat="1" x14ac:dyDescent="0.2">
      <c r="B427" s="27"/>
    </row>
    <row r="428" spans="2:2" s="24" customFormat="1" x14ac:dyDescent="0.2">
      <c r="B428" s="27"/>
    </row>
    <row r="429" spans="2:2" s="24" customFormat="1" x14ac:dyDescent="0.2">
      <c r="B429" s="27"/>
    </row>
    <row r="430" spans="2:2" s="24" customFormat="1" x14ac:dyDescent="0.2">
      <c r="B430" s="27"/>
    </row>
    <row r="431" spans="2:2" s="24" customFormat="1" x14ac:dyDescent="0.2">
      <c r="B431" s="27"/>
    </row>
    <row r="432" spans="2:2" s="24" customFormat="1" x14ac:dyDescent="0.2">
      <c r="B432" s="27"/>
    </row>
    <row r="433" spans="2:2" s="24" customFormat="1" x14ac:dyDescent="0.2">
      <c r="B433" s="27"/>
    </row>
    <row r="434" spans="2:2" s="24" customFormat="1" x14ac:dyDescent="0.2">
      <c r="B434" s="27"/>
    </row>
    <row r="435" spans="2:2" s="24" customFormat="1" x14ac:dyDescent="0.2">
      <c r="B435" s="27"/>
    </row>
    <row r="436" spans="2:2" s="24" customFormat="1" x14ac:dyDescent="0.2">
      <c r="B436" s="27"/>
    </row>
    <row r="437" spans="2:2" s="24" customFormat="1" x14ac:dyDescent="0.2">
      <c r="B437" s="27"/>
    </row>
    <row r="438" spans="2:2" s="24" customFormat="1" x14ac:dyDescent="0.2">
      <c r="B438" s="27"/>
    </row>
    <row r="439" spans="2:2" s="24" customFormat="1" x14ac:dyDescent="0.2">
      <c r="B439" s="27"/>
    </row>
    <row r="440" spans="2:2" s="24" customFormat="1" x14ac:dyDescent="0.2">
      <c r="B440" s="27"/>
    </row>
    <row r="441" spans="2:2" s="24" customFormat="1" x14ac:dyDescent="0.2">
      <c r="B441" s="27"/>
    </row>
    <row r="442" spans="2:2" s="24" customFormat="1" x14ac:dyDescent="0.2">
      <c r="B442" s="27"/>
    </row>
    <row r="443" spans="2:2" s="24" customFormat="1" x14ac:dyDescent="0.2">
      <c r="B443" s="27"/>
    </row>
    <row r="444" spans="2:2" s="24" customFormat="1" x14ac:dyDescent="0.2">
      <c r="B444" s="27"/>
    </row>
    <row r="445" spans="2:2" s="24" customFormat="1" x14ac:dyDescent="0.2">
      <c r="B445" s="27"/>
    </row>
    <row r="446" spans="2:2" s="24" customFormat="1" x14ac:dyDescent="0.2">
      <c r="B446" s="27"/>
    </row>
    <row r="447" spans="2:2" s="24" customFormat="1" x14ac:dyDescent="0.2">
      <c r="B447" s="27"/>
    </row>
    <row r="448" spans="2:2" s="24" customFormat="1" x14ac:dyDescent="0.2">
      <c r="B448" s="27"/>
    </row>
    <row r="449" spans="2:2" s="24" customFormat="1" x14ac:dyDescent="0.2">
      <c r="B449" s="27"/>
    </row>
    <row r="450" spans="2:2" s="24" customFormat="1" x14ac:dyDescent="0.2">
      <c r="B450" s="27"/>
    </row>
    <row r="451" spans="2:2" s="24" customFormat="1" x14ac:dyDescent="0.2">
      <c r="B451" s="27"/>
    </row>
    <row r="452" spans="2:2" s="24" customFormat="1" x14ac:dyDescent="0.2">
      <c r="B452" s="27"/>
    </row>
    <row r="453" spans="2:2" s="24" customFormat="1" x14ac:dyDescent="0.2">
      <c r="B453" s="27"/>
    </row>
    <row r="454" spans="2:2" s="24" customFormat="1" x14ac:dyDescent="0.2">
      <c r="B454" s="27"/>
    </row>
    <row r="455" spans="2:2" s="24" customFormat="1" x14ac:dyDescent="0.2">
      <c r="B455" s="27"/>
    </row>
    <row r="456" spans="2:2" s="24" customFormat="1" x14ac:dyDescent="0.2">
      <c r="B456" s="27"/>
    </row>
    <row r="457" spans="2:2" s="24" customFormat="1" x14ac:dyDescent="0.2">
      <c r="B457" s="27"/>
    </row>
    <row r="458" spans="2:2" s="24" customFormat="1" x14ac:dyDescent="0.2">
      <c r="B458" s="27"/>
    </row>
  </sheetData>
  <autoFilter ref="A10:Q114"/>
  <mergeCells count="4">
    <mergeCell ref="A1:D1"/>
    <mergeCell ref="E1:G1"/>
    <mergeCell ref="H1:I1"/>
    <mergeCell ref="B7:I7"/>
  </mergeCells>
  <hyperlinks>
    <hyperlink ref="J11" r:id="rId1" display="https://demo.prestashop.com/"/>
    <hyperlink ref="J13" r:id="rId2" display="https://demo.prestashop.com/"/>
    <hyperlink ref="I25" r:id="rId3" display="mailto:test_015@test.com"/>
    <hyperlink ref="I24" r:id="rId4" display="mailto:muy_largo_email_test_usuario_con_mas_de_100_caracteres@dominioextremadamentelargo.com"/>
    <hyperlink ref="I23" r:id="rId5" display="mailto:test_013@test.com"/>
    <hyperlink ref="I21" r:id="rId6" display="mailto:test_user_011@test.com"/>
    <hyperlink ref="I20" r:id="rId7" display="mailto:existing_user@test.com"/>
    <hyperlink ref="I19" r:id="rId8" display="mailto:existing_user@test.com"/>
    <hyperlink ref="I18" r:id="rId9" display="mailto:test_user_008@test.com"/>
    <hyperlink ref="I17" r:id="rId10" display="mailto:test_user_007@test.com"/>
    <hyperlink ref="I16" r:id="rId11" display="mailto:test..user@test.com"/>
    <hyperlink ref="I12" r:id="rId12" display="mailto:test_user_001@test.com"/>
    <hyperlink ref="I11" r:id="rId13" display="mailto:test_user_001@test.com"/>
    <hyperlink ref="I26" r:id="rId14" display="mailto:testuser@prestashop.test"/>
    <hyperlink ref="J26" r:id="rId15" display="https://demo.prestashop.com/"/>
    <hyperlink ref="I27" r:id="rId16" display="mailto:usuario_noexiste@test.com"/>
    <hyperlink ref="I28" r:id="rId17" display="mailto:testuser@prestashop.test"/>
    <hyperlink ref="I29" r:id="rId18" display="mailto:nunca_registrado_123@test.com"/>
    <hyperlink ref="I30" r:id="rId19" display="mailto:test@test.com"/>
    <hyperlink ref="I31" r:id="rId20" display="mailto:testuser@prestashop.test"/>
    <hyperlink ref="H35" r:id="rId21" display="mailto:testuser@test.com"/>
    <hyperlink ref="I35" r:id="rId22" display="mailto:TESTUSER@TEST.COM"/>
    <hyperlink ref="J77" r:id="rId23" display="https://demo.prestashop.com/"/>
  </hyperlinks>
  <pageMargins left="0.7" right="0.7" top="0.75" bottom="0.75" header="0.3" footer="0.3"/>
  <pageSetup paperSize="9" orientation="portrait"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13"/>
  <sheetViews>
    <sheetView zoomScale="85" zoomScaleNormal="85" workbookViewId="0">
      <selection activeCell="D16" sqref="D16"/>
    </sheetView>
  </sheetViews>
  <sheetFormatPr baseColWidth="10" defaultRowHeight="12.75" x14ac:dyDescent="0.2"/>
  <cols>
    <col min="1" max="1" width="27.7109375" customWidth="1"/>
    <col min="2" max="2" width="32" customWidth="1"/>
    <col min="3" max="3" width="29.140625" customWidth="1"/>
  </cols>
  <sheetData>
    <row r="2" spans="1:17" x14ac:dyDescent="0.2">
      <c r="A2" s="40" t="s">
        <v>53</v>
      </c>
      <c r="B2" s="16" t="s">
        <v>802</v>
      </c>
      <c r="C2" s="45"/>
      <c r="D2" s="37"/>
      <c r="E2" s="37"/>
      <c r="F2" s="37"/>
      <c r="G2" s="37"/>
      <c r="H2" s="37"/>
      <c r="I2" s="37"/>
      <c r="J2" s="37"/>
      <c r="K2" s="37"/>
      <c r="L2" s="37"/>
      <c r="M2" s="37"/>
      <c r="N2" s="37"/>
      <c r="O2" s="37"/>
      <c r="P2" s="37"/>
      <c r="Q2" s="37"/>
    </row>
    <row r="3" spans="1:17" x14ac:dyDescent="0.2">
      <c r="A3" s="40" t="s">
        <v>803</v>
      </c>
      <c r="B3" s="16" t="s">
        <v>804</v>
      </c>
      <c r="C3" s="46"/>
      <c r="D3" s="37"/>
      <c r="E3" s="37"/>
      <c r="F3" s="37"/>
      <c r="G3" s="37"/>
      <c r="H3" s="37"/>
      <c r="I3" s="37"/>
      <c r="J3" s="37"/>
      <c r="K3" s="37"/>
      <c r="L3" s="37"/>
      <c r="M3" s="37"/>
      <c r="N3" s="37"/>
      <c r="O3" s="37"/>
      <c r="P3" s="37"/>
      <c r="Q3" s="37"/>
    </row>
    <row r="4" spans="1:17" x14ac:dyDescent="0.2">
      <c r="A4" s="40" t="s">
        <v>805</v>
      </c>
      <c r="B4" s="16" t="s">
        <v>806</v>
      </c>
      <c r="C4" s="48"/>
      <c r="D4" s="37"/>
      <c r="E4" s="37"/>
      <c r="F4" s="37"/>
      <c r="G4" s="37"/>
      <c r="H4" s="37"/>
      <c r="I4" s="37"/>
      <c r="J4" s="37"/>
      <c r="K4" s="37"/>
      <c r="L4" s="37"/>
      <c r="M4" s="37"/>
      <c r="N4" s="37"/>
      <c r="O4" s="37"/>
      <c r="P4" s="37"/>
      <c r="Q4" s="37"/>
    </row>
    <row r="5" spans="1:17" x14ac:dyDescent="0.2">
      <c r="A5" s="40" t="s">
        <v>807</v>
      </c>
      <c r="B5" s="16" t="s">
        <v>808</v>
      </c>
      <c r="C5" s="50"/>
      <c r="D5" s="37"/>
      <c r="E5" s="37"/>
      <c r="F5" s="37"/>
      <c r="G5" s="37"/>
      <c r="H5" s="37"/>
      <c r="I5" s="37"/>
      <c r="J5" s="37"/>
      <c r="K5" s="37"/>
      <c r="L5" s="37"/>
      <c r="M5" s="37"/>
      <c r="N5" s="37"/>
      <c r="O5" s="37"/>
      <c r="P5" s="37"/>
      <c r="Q5" s="37"/>
    </row>
    <row r="6" spans="1:17" x14ac:dyDescent="0.2">
      <c r="A6" s="40" t="s">
        <v>809</v>
      </c>
      <c r="B6" s="16" t="s">
        <v>810</v>
      </c>
      <c r="C6" s="51"/>
      <c r="D6" s="37"/>
      <c r="E6" s="37"/>
      <c r="F6" s="37"/>
      <c r="G6" s="37"/>
      <c r="H6" s="37"/>
      <c r="I6" s="37"/>
      <c r="J6" s="37"/>
      <c r="K6" s="37"/>
      <c r="L6" s="37"/>
      <c r="M6" s="37"/>
      <c r="N6" s="37"/>
      <c r="O6" s="37"/>
      <c r="P6" s="37"/>
      <c r="Q6" s="37"/>
    </row>
    <row r="8" spans="1:17" ht="17.25" x14ac:dyDescent="0.2">
      <c r="A8" s="38" t="s">
        <v>811</v>
      </c>
    </row>
    <row r="9" spans="1:17" x14ac:dyDescent="0.2">
      <c r="A9" s="39" t="s">
        <v>812</v>
      </c>
      <c r="B9" s="39" t="s">
        <v>813</v>
      </c>
      <c r="C9" s="39" t="s">
        <v>814</v>
      </c>
    </row>
    <row r="10" spans="1:17" x14ac:dyDescent="0.2">
      <c r="A10" s="40" t="s">
        <v>49</v>
      </c>
      <c r="B10" s="41"/>
      <c r="C10" s="16" t="s">
        <v>815</v>
      </c>
    </row>
    <row r="11" spans="1:17" x14ac:dyDescent="0.2">
      <c r="A11" s="40" t="s">
        <v>75</v>
      </c>
      <c r="B11" s="42"/>
      <c r="C11" s="16" t="s">
        <v>816</v>
      </c>
    </row>
    <row r="12" spans="1:17" x14ac:dyDescent="0.2">
      <c r="A12" s="40" t="s">
        <v>100</v>
      </c>
      <c r="B12" s="43"/>
      <c r="C12" s="16" t="s">
        <v>817</v>
      </c>
    </row>
    <row r="13" spans="1:17" x14ac:dyDescent="0.2">
      <c r="A13" s="40" t="s">
        <v>818</v>
      </c>
      <c r="B13" s="44"/>
      <c r="C13" s="16" t="s">
        <v>819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Casos de Pruebas</vt:lpstr>
      <vt:lpstr>Instrución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sentrauser3416</dc:creator>
  <cp:lastModifiedBy>sentrauser3416</cp:lastModifiedBy>
  <dcterms:created xsi:type="dcterms:W3CDTF">2025-08-23T23:28:23Z</dcterms:created>
  <dcterms:modified xsi:type="dcterms:W3CDTF">2025-11-14T21:40:38Z</dcterms:modified>
</cp:coreProperties>
</file>